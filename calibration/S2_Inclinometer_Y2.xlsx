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64011"/>
  <bookViews>
    <workbookView xWindow="28680" yWindow="-120" windowWidth="29040" windowHeight="15840"/>
  </bookViews>
  <sheets>
    <sheet name="Sheet1 (2)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O29" i="3" l="1"/>
  <c r="AO30" i="3"/>
  <c r="AO31" i="3"/>
  <c r="AO32" i="3"/>
  <c r="AO33" i="3"/>
  <c r="AO34" i="3"/>
  <c r="AO35" i="3"/>
  <c r="AO36" i="3"/>
  <c r="AO37" i="3"/>
  <c r="AO38" i="3"/>
  <c r="AO28" i="3"/>
  <c r="AO8" i="3"/>
  <c r="AO9" i="3"/>
  <c r="AO10" i="3"/>
  <c r="AO11" i="3"/>
  <c r="AO12" i="3"/>
  <c r="AO13" i="3"/>
  <c r="AO14" i="3"/>
  <c r="AO15" i="3"/>
  <c r="AO16" i="3"/>
  <c r="AO17" i="3"/>
  <c r="AO7" i="3"/>
  <c r="AN29" i="3" l="1"/>
  <c r="AN30" i="3"/>
  <c r="AN31" i="3"/>
  <c r="AN32" i="3"/>
  <c r="AN33" i="3"/>
  <c r="AN34" i="3"/>
  <c r="AN35" i="3"/>
  <c r="AN36" i="3"/>
  <c r="AN37" i="3"/>
  <c r="AN38" i="3"/>
  <c r="AN28" i="3"/>
  <c r="AN8" i="3"/>
  <c r="AN9" i="3"/>
  <c r="AN10" i="3"/>
  <c r="AN11" i="3"/>
  <c r="AN12" i="3"/>
  <c r="AN13" i="3"/>
  <c r="AN14" i="3"/>
  <c r="AN15" i="3"/>
  <c r="AN16" i="3"/>
  <c r="AN17" i="3"/>
  <c r="AN7" i="3"/>
  <c r="AK29" i="3" l="1"/>
  <c r="AL29" i="3"/>
  <c r="AM29" i="3"/>
  <c r="AK30" i="3"/>
  <c r="AL30" i="3"/>
  <c r="AM30" i="3"/>
  <c r="AK31" i="3"/>
  <c r="AL31" i="3"/>
  <c r="AM31" i="3"/>
  <c r="AK32" i="3"/>
  <c r="AL32" i="3"/>
  <c r="AM32" i="3"/>
  <c r="AK33" i="3"/>
  <c r="AL33" i="3"/>
  <c r="AM33" i="3"/>
  <c r="AK34" i="3"/>
  <c r="AL34" i="3"/>
  <c r="AM34" i="3"/>
  <c r="AK35" i="3"/>
  <c r="AL35" i="3"/>
  <c r="AM35" i="3"/>
  <c r="AK36" i="3"/>
  <c r="AL36" i="3"/>
  <c r="AM36" i="3"/>
  <c r="AK37" i="3"/>
  <c r="AL37" i="3"/>
  <c r="AM37" i="3"/>
  <c r="AK38" i="3"/>
  <c r="AL38" i="3"/>
  <c r="AM38" i="3"/>
  <c r="AK28" i="3"/>
  <c r="AL28" i="3"/>
  <c r="AM28" i="3"/>
  <c r="AK8" i="3"/>
  <c r="AL8" i="3"/>
  <c r="AM8" i="3"/>
  <c r="AK9" i="3"/>
  <c r="AL9" i="3"/>
  <c r="AM9" i="3"/>
  <c r="AK10" i="3"/>
  <c r="AL10" i="3"/>
  <c r="AM10" i="3"/>
  <c r="AK11" i="3"/>
  <c r="AL11" i="3"/>
  <c r="AM11" i="3"/>
  <c r="AK12" i="3"/>
  <c r="AL12" i="3"/>
  <c r="AM12" i="3"/>
  <c r="AK13" i="3"/>
  <c r="AL13" i="3"/>
  <c r="AM13" i="3"/>
  <c r="AK14" i="3"/>
  <c r="AL14" i="3"/>
  <c r="AM14" i="3"/>
  <c r="AK15" i="3"/>
  <c r="AL15" i="3"/>
  <c r="AM15" i="3"/>
  <c r="AK16" i="3"/>
  <c r="AL16" i="3"/>
  <c r="AM16" i="3"/>
  <c r="AK17" i="3"/>
  <c r="AL17" i="3"/>
  <c r="AM17" i="3"/>
  <c r="AK7" i="3"/>
  <c r="AL7" i="3"/>
  <c r="AM7" i="3"/>
  <c r="AH29" i="3" l="1"/>
  <c r="AI29" i="3"/>
  <c r="AJ29" i="3"/>
  <c r="AH30" i="3"/>
  <c r="AI30" i="3"/>
  <c r="AJ30" i="3"/>
  <c r="AH31" i="3"/>
  <c r="AI31" i="3"/>
  <c r="AJ31" i="3"/>
  <c r="AH32" i="3"/>
  <c r="AI32" i="3"/>
  <c r="AJ32" i="3"/>
  <c r="AH33" i="3"/>
  <c r="AI33" i="3"/>
  <c r="AJ33" i="3"/>
  <c r="AH34" i="3"/>
  <c r="AI34" i="3"/>
  <c r="AJ34" i="3"/>
  <c r="AH35" i="3"/>
  <c r="AI35" i="3"/>
  <c r="AJ35" i="3"/>
  <c r="AH36" i="3"/>
  <c r="AI36" i="3"/>
  <c r="AJ36" i="3"/>
  <c r="AH37" i="3"/>
  <c r="AI37" i="3"/>
  <c r="AJ37" i="3"/>
  <c r="AH38" i="3"/>
  <c r="AI38" i="3"/>
  <c r="AJ38" i="3"/>
  <c r="AH28" i="3"/>
  <c r="AI28" i="3"/>
  <c r="AJ28" i="3"/>
  <c r="AH8" i="3"/>
  <c r="AI8" i="3"/>
  <c r="AJ8" i="3"/>
  <c r="AH9" i="3"/>
  <c r="AI9" i="3"/>
  <c r="AJ9" i="3"/>
  <c r="AH10" i="3"/>
  <c r="AI10" i="3"/>
  <c r="AJ10" i="3"/>
  <c r="AH11" i="3"/>
  <c r="AI11" i="3"/>
  <c r="AJ11" i="3"/>
  <c r="AH12" i="3"/>
  <c r="AI12" i="3"/>
  <c r="AJ12" i="3"/>
  <c r="AH13" i="3"/>
  <c r="AI13" i="3"/>
  <c r="AJ13" i="3"/>
  <c r="AH14" i="3"/>
  <c r="AI14" i="3"/>
  <c r="AJ14" i="3"/>
  <c r="AH15" i="3"/>
  <c r="AI15" i="3"/>
  <c r="AJ15" i="3"/>
  <c r="AH16" i="3"/>
  <c r="AI16" i="3"/>
  <c r="AJ16" i="3"/>
  <c r="AH17" i="3"/>
  <c r="AI17" i="3"/>
  <c r="AJ17" i="3"/>
  <c r="AH7" i="3"/>
  <c r="AI7" i="3"/>
  <c r="AJ7" i="3"/>
  <c r="AF29" i="3" l="1"/>
  <c r="AG29" i="3"/>
  <c r="AF30" i="3"/>
  <c r="AG30" i="3"/>
  <c r="AF31" i="3"/>
  <c r="AG31" i="3"/>
  <c r="AF32" i="3"/>
  <c r="AG32" i="3"/>
  <c r="AF33" i="3"/>
  <c r="AG33" i="3"/>
  <c r="AF34" i="3"/>
  <c r="AG34" i="3"/>
  <c r="AF35" i="3"/>
  <c r="AG35" i="3"/>
  <c r="AF36" i="3"/>
  <c r="AG36" i="3"/>
  <c r="AF37" i="3"/>
  <c r="AG37" i="3"/>
  <c r="AF38" i="3"/>
  <c r="AG38" i="3"/>
  <c r="AF39" i="3"/>
  <c r="AG39" i="3"/>
  <c r="AF40" i="3"/>
  <c r="AG40" i="3"/>
  <c r="AF28" i="3"/>
  <c r="AG28" i="3"/>
  <c r="AF8" i="3"/>
  <c r="AG8" i="3"/>
  <c r="AF9" i="3"/>
  <c r="AG9" i="3"/>
  <c r="AF10" i="3"/>
  <c r="AG10" i="3"/>
  <c r="AF11" i="3"/>
  <c r="AG11" i="3"/>
  <c r="AF12" i="3"/>
  <c r="AG12" i="3"/>
  <c r="AF13" i="3"/>
  <c r="AG13" i="3"/>
  <c r="AF14" i="3"/>
  <c r="AG14" i="3"/>
  <c r="AF15" i="3"/>
  <c r="AG15" i="3"/>
  <c r="AF16" i="3"/>
  <c r="AG16" i="3"/>
  <c r="AF17" i="3"/>
  <c r="AG17" i="3"/>
  <c r="AF18" i="3"/>
  <c r="AG18" i="3"/>
  <c r="AF19" i="3"/>
  <c r="AG19" i="3"/>
  <c r="AF7" i="3"/>
  <c r="AG7" i="3"/>
  <c r="AC29" i="3" l="1"/>
  <c r="AD29" i="3"/>
  <c r="AE29" i="3"/>
  <c r="AC30" i="3"/>
  <c r="AD30" i="3"/>
  <c r="AE30" i="3"/>
  <c r="AC31" i="3"/>
  <c r="AD31" i="3"/>
  <c r="AE31" i="3"/>
  <c r="AC32" i="3"/>
  <c r="AD32" i="3"/>
  <c r="AE32" i="3"/>
  <c r="AC33" i="3"/>
  <c r="AD33" i="3"/>
  <c r="AE33" i="3"/>
  <c r="AC34" i="3"/>
  <c r="AD34" i="3"/>
  <c r="AE34" i="3"/>
  <c r="AC35" i="3"/>
  <c r="AD35" i="3"/>
  <c r="AE35" i="3"/>
  <c r="AC36" i="3"/>
  <c r="AD36" i="3"/>
  <c r="AE36" i="3"/>
  <c r="AC37" i="3"/>
  <c r="AD37" i="3"/>
  <c r="AE37" i="3"/>
  <c r="AC38" i="3"/>
  <c r="AD38" i="3"/>
  <c r="AE38" i="3"/>
  <c r="AD28" i="3"/>
  <c r="AE28" i="3"/>
  <c r="AC28" i="3"/>
  <c r="AC8" i="3"/>
  <c r="AD8" i="3"/>
  <c r="AE8" i="3"/>
  <c r="AC9" i="3"/>
  <c r="AD9" i="3"/>
  <c r="AE9" i="3"/>
  <c r="AC10" i="3"/>
  <c r="AD10" i="3"/>
  <c r="AE10" i="3"/>
  <c r="AC11" i="3"/>
  <c r="AD11" i="3"/>
  <c r="AE11" i="3"/>
  <c r="AC12" i="3"/>
  <c r="AD12" i="3"/>
  <c r="AE12" i="3"/>
  <c r="AC13" i="3"/>
  <c r="AD13" i="3"/>
  <c r="AE13" i="3"/>
  <c r="AC14" i="3"/>
  <c r="AD14" i="3"/>
  <c r="AE14" i="3"/>
  <c r="AC15" i="3"/>
  <c r="AD15" i="3"/>
  <c r="AE15" i="3"/>
  <c r="AC16" i="3"/>
  <c r="AD16" i="3"/>
  <c r="AE16" i="3"/>
  <c r="AC17" i="3"/>
  <c r="AD17" i="3"/>
  <c r="AE17" i="3"/>
  <c r="AD7" i="3"/>
  <c r="AE7" i="3"/>
  <c r="AC7" i="3"/>
  <c r="AA29" i="3" l="1"/>
  <c r="AA30" i="3"/>
  <c r="AA31" i="3"/>
  <c r="AA32" i="3"/>
  <c r="AA33" i="3"/>
  <c r="AA34" i="3"/>
  <c r="AA35" i="3"/>
  <c r="AA36" i="3"/>
  <c r="AA37" i="3"/>
  <c r="AA38" i="3"/>
  <c r="AA28" i="3"/>
  <c r="AA8" i="3"/>
  <c r="AA9" i="3"/>
  <c r="AA10" i="3"/>
  <c r="AA11" i="3"/>
  <c r="AA12" i="3"/>
  <c r="AA13" i="3"/>
  <c r="AA14" i="3"/>
  <c r="AA15" i="3"/>
  <c r="AA16" i="3"/>
  <c r="AA17" i="3"/>
  <c r="AA18" i="3"/>
  <c r="AB18" i="3"/>
  <c r="AA19" i="3"/>
  <c r="AB19" i="3"/>
  <c r="AA7" i="3"/>
  <c r="X29" i="3" l="1"/>
  <c r="Y29" i="3"/>
  <c r="Z29" i="3"/>
  <c r="X30" i="3"/>
  <c r="Y30" i="3"/>
  <c r="Z30" i="3"/>
  <c r="X31" i="3"/>
  <c r="Y31" i="3"/>
  <c r="Z31" i="3"/>
  <c r="X32" i="3"/>
  <c r="Y32" i="3"/>
  <c r="Z32" i="3"/>
  <c r="X33" i="3"/>
  <c r="Y33" i="3"/>
  <c r="Z33" i="3"/>
  <c r="X34" i="3"/>
  <c r="Y34" i="3"/>
  <c r="Z34" i="3"/>
  <c r="X35" i="3"/>
  <c r="Y35" i="3"/>
  <c r="Z35" i="3"/>
  <c r="X36" i="3"/>
  <c r="Y36" i="3"/>
  <c r="Z36" i="3"/>
  <c r="X37" i="3"/>
  <c r="Y37" i="3"/>
  <c r="Z37" i="3"/>
  <c r="X38" i="3"/>
  <c r="Y38" i="3"/>
  <c r="Z38" i="3"/>
  <c r="X28" i="3"/>
  <c r="Y28" i="3"/>
  <c r="Z28" i="3"/>
  <c r="X8" i="3"/>
  <c r="Y8" i="3"/>
  <c r="Z8" i="3"/>
  <c r="X9" i="3"/>
  <c r="Y9" i="3"/>
  <c r="Z9" i="3"/>
  <c r="X10" i="3"/>
  <c r="Y10" i="3"/>
  <c r="Z10" i="3"/>
  <c r="X11" i="3"/>
  <c r="Y11" i="3"/>
  <c r="Z11" i="3"/>
  <c r="X12" i="3"/>
  <c r="Y12" i="3"/>
  <c r="Z12" i="3"/>
  <c r="X13" i="3"/>
  <c r="Y13" i="3"/>
  <c r="Z13" i="3"/>
  <c r="X14" i="3"/>
  <c r="Y14" i="3"/>
  <c r="Z14" i="3"/>
  <c r="X15" i="3"/>
  <c r="Y15" i="3"/>
  <c r="Z15" i="3"/>
  <c r="X16" i="3"/>
  <c r="Y16" i="3"/>
  <c r="Z16" i="3"/>
  <c r="X17" i="3"/>
  <c r="Y17" i="3"/>
  <c r="Z17" i="3"/>
  <c r="X7" i="3"/>
  <c r="Y7" i="3"/>
  <c r="Z7" i="3"/>
  <c r="D39" i="3" l="1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A38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A37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A36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A35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A34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A33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A32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A31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A30" i="3"/>
  <c r="W29" i="3"/>
  <c r="V29" i="3"/>
  <c r="U29" i="3"/>
  <c r="T29" i="3"/>
  <c r="S29" i="3"/>
  <c r="R29" i="3"/>
  <c r="Q29" i="3"/>
  <c r="P29" i="3"/>
  <c r="P39" i="3" s="1"/>
  <c r="P40" i="3" s="1"/>
  <c r="O29" i="3"/>
  <c r="N29" i="3"/>
  <c r="M29" i="3"/>
  <c r="M39" i="3" s="1"/>
  <c r="M40" i="3" s="1"/>
  <c r="L29" i="3"/>
  <c r="K29" i="3"/>
  <c r="J29" i="3"/>
  <c r="I29" i="3"/>
  <c r="H29" i="3"/>
  <c r="H39" i="3" s="1"/>
  <c r="G29" i="3"/>
  <c r="F29" i="3"/>
  <c r="E29" i="3"/>
  <c r="E39" i="3" s="1"/>
  <c r="A29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A28" i="3"/>
  <c r="S39" i="3"/>
  <c r="S40" i="3" s="1"/>
  <c r="R39" i="3"/>
  <c r="R40" i="3" s="1"/>
  <c r="Q39" i="3"/>
  <c r="Q40" i="3" s="1"/>
  <c r="O39" i="3"/>
  <c r="N39" i="3"/>
  <c r="N40" i="3" s="1"/>
  <c r="L39" i="3"/>
  <c r="K39" i="3"/>
  <c r="J39" i="3"/>
  <c r="I39" i="3"/>
  <c r="G39" i="3"/>
  <c r="F39" i="3"/>
  <c r="A27" i="3"/>
  <c r="W19" i="3"/>
  <c r="W18" i="3"/>
  <c r="D18" i="3"/>
  <c r="D19" i="3" s="1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A17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A16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A15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A14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A13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12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A11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A10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A9" i="3"/>
  <c r="W8" i="3"/>
  <c r="V8" i="3"/>
  <c r="U8" i="3"/>
  <c r="T8" i="3"/>
  <c r="S8" i="3"/>
  <c r="R8" i="3"/>
  <c r="Q8" i="3"/>
  <c r="P8" i="3"/>
  <c r="O8" i="3"/>
  <c r="O18" i="3" s="1"/>
  <c r="O19" i="3" s="1"/>
  <c r="N8" i="3"/>
  <c r="M8" i="3"/>
  <c r="L8" i="3"/>
  <c r="L18" i="3" s="1"/>
  <c r="L19" i="3" s="1"/>
  <c r="K8" i="3"/>
  <c r="J8" i="3"/>
  <c r="I8" i="3"/>
  <c r="H8" i="3"/>
  <c r="G8" i="3"/>
  <c r="G18" i="3" s="1"/>
  <c r="G19" i="3" s="1"/>
  <c r="F8" i="3"/>
  <c r="E8" i="3"/>
  <c r="A8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A7" i="3"/>
  <c r="S18" i="3"/>
  <c r="S19" i="3" s="1"/>
  <c r="R18" i="3"/>
  <c r="R19" i="3" s="1"/>
  <c r="Q18" i="3"/>
  <c r="Q19" i="3" s="1"/>
  <c r="P18" i="3"/>
  <c r="P19" i="3" s="1"/>
  <c r="N18" i="3"/>
  <c r="N19" i="3" s="1"/>
  <c r="M18" i="3"/>
  <c r="M19" i="3" s="1"/>
  <c r="K18" i="3"/>
  <c r="K19" i="3" s="1"/>
  <c r="J18" i="3"/>
  <c r="J19" i="3" s="1"/>
  <c r="I18" i="3"/>
  <c r="I19" i="3" s="1"/>
  <c r="H18" i="3"/>
  <c r="H19" i="3" s="1"/>
  <c r="F18" i="3"/>
  <c r="F19" i="3" s="1"/>
  <c r="E18" i="3"/>
  <c r="E19" i="3" s="1"/>
  <c r="A6" i="3"/>
</calcChain>
</file>

<file path=xl/sharedStrings.xml><?xml version="1.0" encoding="utf-8"?>
<sst xmlns="http://schemas.openxmlformats.org/spreadsheetml/2006/main" count="15" uniqueCount="9">
  <si>
    <t>Profile_Change</t>
  </si>
  <si>
    <t>2Y 2 A</t>
  </si>
  <si>
    <t>Depth in Feet</t>
  </si>
  <si>
    <t xml:space="preserve"> Units: </t>
  </si>
  <si>
    <t>Profile Change in Inches</t>
  </si>
  <si>
    <t>Depth</t>
  </si>
  <si>
    <t>the first row was deleted since 3' pipe is above the ground
and also the depth should be up to 30'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</si>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</sst>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1" fontId="0" fillId="0" borderId="0" xfId="0" applyNumberFormat="1" applyFill="1"/>
    <xf numFmtId="0" fontId="0" fillId="0" borderId="0" xfId="0" applyFill="1"/>
    <xf numFmtId="0" fontId="0" fillId="3" borderId="0" xfId="0" applyFill="1"/>
    <xf numFmtId="0" fontId="0" fillId="4" borderId="0" xfId="0" applyFill="1"/>
    <xf numFmtId="14" fontId="0" fillId="4" borderId="0" xfId="0" applyNumberFormat="1" applyFill="1"/>
    <xf numFmtId="14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Metro Center Slope-SI 2A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'Sheet1 (2)'!$D$5</c:f>
              <c:strCache>
                <c:ptCount val="1"/>
                <c:pt idx="0">
                  <c:v>10/6/2018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'Sheet1 (2)'!$D$6:$D$18</c:f>
              <c:numCache>
                <c:formatCode>General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'Sheet1 (2)'!$C$6:$C$18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61-433D-A947-33529F29A2C7}"/>
            </c:ext>
          </c:extLst>
        </c:ser>
        <c:ser>
          <c:idx val="1"/>
          <c:order val="1"/>
          <c:tx>
            <c:strRef>
              <c:f>'Sheet1 (2)'!$E$5</c:f>
              <c:strCache>
                <c:ptCount val="1"/>
                <c:pt idx="0">
                  <c:v>10/31/2018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'Sheet1 (2)'!$E$6:$E$18</c:f>
              <c:numCache>
                <c:formatCode>General</c:formatCode>
                <c:ptCount val="13"/>
                <c:pt idx="1">
                  <c:v>7.3000000000000001E-3</c:v>
                </c:pt>
                <c:pt idx="2">
                  <c:v>1.24E-2</c:v>
                </c:pt>
                <c:pt idx="3">
                  <c:v>1.24E-2</c:v>
                </c:pt>
                <c:pt idx="4">
                  <c:v>1.14E-2</c:v>
                </c:pt>
                <c:pt idx="5">
                  <c:v>1.0200000000000001E-2</c:v>
                </c:pt>
                <c:pt idx="6">
                  <c:v>9.1999999999999998E-3</c:v>
                </c:pt>
                <c:pt idx="7">
                  <c:v>8.5000000000000006E-3</c:v>
                </c:pt>
                <c:pt idx="8">
                  <c:v>7.3000000000000001E-3</c:v>
                </c:pt>
                <c:pt idx="9">
                  <c:v>6.0000000000000001E-3</c:v>
                </c:pt>
                <c:pt idx="10">
                  <c:v>2.2000000000000001E-3</c:v>
                </c:pt>
                <c:pt idx="11">
                  <c:v>1.1000000000000001E-3</c:v>
                </c:pt>
                <c:pt idx="12">
                  <c:v>8.0000000000000002E-3</c:v>
                </c:pt>
              </c:numCache>
            </c:numRef>
          </c:xVal>
          <c:yVal>
            <c:numRef>
              <c:f>'Sheet1 (2)'!$C$6:$C$18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61-433D-A947-33529F29A2C7}"/>
            </c:ext>
          </c:extLst>
        </c:ser>
        <c:ser>
          <c:idx val="2"/>
          <c:order val="2"/>
          <c:tx>
            <c:strRef>
              <c:f>'Sheet1 (2)'!$F$5</c:f>
              <c:strCache>
                <c:ptCount val="1"/>
                <c:pt idx="0">
                  <c:v>11/13/2018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'Sheet1 (2)'!$F$6:$F$18</c:f>
              <c:numCache>
                <c:formatCode>General</c:formatCode>
                <c:ptCount val="13"/>
                <c:pt idx="1">
                  <c:v>1E-4</c:v>
                </c:pt>
                <c:pt idx="2">
                  <c:v>1.55E-2</c:v>
                </c:pt>
                <c:pt idx="3">
                  <c:v>1.12E-2</c:v>
                </c:pt>
                <c:pt idx="4">
                  <c:v>1.01E-2</c:v>
                </c:pt>
                <c:pt idx="5">
                  <c:v>9.5999999999999992E-3</c:v>
                </c:pt>
                <c:pt idx="6">
                  <c:v>8.9999999999999993E-3</c:v>
                </c:pt>
                <c:pt idx="7">
                  <c:v>9.5999999999999992E-3</c:v>
                </c:pt>
                <c:pt idx="8">
                  <c:v>8.6E-3</c:v>
                </c:pt>
                <c:pt idx="9">
                  <c:v>8.6E-3</c:v>
                </c:pt>
                <c:pt idx="10">
                  <c:v>5.8999999999999999E-3</c:v>
                </c:pt>
                <c:pt idx="11">
                  <c:v>3.3999999999999998E-3</c:v>
                </c:pt>
                <c:pt idx="12">
                  <c:v>8.3272727272727266E-3</c:v>
                </c:pt>
              </c:numCache>
            </c:numRef>
          </c:xVal>
          <c:yVal>
            <c:numRef>
              <c:f>'Sheet1 (2)'!$C$6:$C$18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061-433D-A947-33529F29A2C7}"/>
            </c:ext>
          </c:extLst>
        </c:ser>
        <c:ser>
          <c:idx val="3"/>
          <c:order val="3"/>
          <c:tx>
            <c:strRef>
              <c:f>'Sheet1 (2)'!$G$5</c:f>
              <c:strCache>
                <c:ptCount val="1"/>
                <c:pt idx="0">
                  <c:v>12/5/2018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'Sheet1 (2)'!$G$6:$G$18</c:f>
              <c:numCache>
                <c:formatCode>General</c:formatCode>
                <c:ptCount val="13"/>
                <c:pt idx="1">
                  <c:v>1.0999999999999999E-2</c:v>
                </c:pt>
                <c:pt idx="2">
                  <c:v>2.5899999999999999E-2</c:v>
                </c:pt>
                <c:pt idx="3">
                  <c:v>1.24E-2</c:v>
                </c:pt>
                <c:pt idx="4">
                  <c:v>1.09E-2</c:v>
                </c:pt>
                <c:pt idx="5">
                  <c:v>1.12E-2</c:v>
                </c:pt>
                <c:pt idx="6">
                  <c:v>1.1599999999999999E-2</c:v>
                </c:pt>
                <c:pt idx="7">
                  <c:v>1.1900000000000001E-2</c:v>
                </c:pt>
                <c:pt idx="8">
                  <c:v>1.1900000000000001E-2</c:v>
                </c:pt>
                <c:pt idx="9">
                  <c:v>1.12E-2</c:v>
                </c:pt>
                <c:pt idx="10">
                  <c:v>8.3000000000000001E-3</c:v>
                </c:pt>
                <c:pt idx="11">
                  <c:v>4.7999999999999996E-3</c:v>
                </c:pt>
                <c:pt idx="12">
                  <c:v>1.1918181818181817E-2</c:v>
                </c:pt>
              </c:numCache>
            </c:numRef>
          </c:xVal>
          <c:yVal>
            <c:numRef>
              <c:f>'Sheet1 (2)'!$C$6:$C$18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61-433D-A947-33529F29A2C7}"/>
            </c:ext>
          </c:extLst>
        </c:ser>
        <c:ser>
          <c:idx val="4"/>
          <c:order val="4"/>
          <c:tx>
            <c:strRef>
              <c:f>'Sheet1 (2)'!$H$5</c:f>
              <c:strCache>
                <c:ptCount val="1"/>
                <c:pt idx="0">
                  <c:v>12/18/2018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'Sheet1 (2)'!$H$6:$H$18</c:f>
              <c:numCache>
                <c:formatCode>General</c:formatCode>
                <c:ptCount val="13"/>
                <c:pt idx="1">
                  <c:v>5.8999999999999999E-3</c:v>
                </c:pt>
                <c:pt idx="2">
                  <c:v>2.41E-2</c:v>
                </c:pt>
                <c:pt idx="3">
                  <c:v>8.8000000000000005E-3</c:v>
                </c:pt>
                <c:pt idx="4">
                  <c:v>7.1999999999999998E-3</c:v>
                </c:pt>
                <c:pt idx="5">
                  <c:v>8.8000000000000005E-3</c:v>
                </c:pt>
                <c:pt idx="6">
                  <c:v>1.0999999999999999E-2</c:v>
                </c:pt>
                <c:pt idx="7">
                  <c:v>1.2999999999999999E-2</c:v>
                </c:pt>
                <c:pt idx="8">
                  <c:v>1.26E-2</c:v>
                </c:pt>
                <c:pt idx="9">
                  <c:v>1.2500000000000001E-2</c:v>
                </c:pt>
                <c:pt idx="10">
                  <c:v>1.06E-2</c:v>
                </c:pt>
                <c:pt idx="11">
                  <c:v>6.6E-3</c:v>
                </c:pt>
                <c:pt idx="12">
                  <c:v>1.1009090909090908E-2</c:v>
                </c:pt>
              </c:numCache>
            </c:numRef>
          </c:xVal>
          <c:yVal>
            <c:numRef>
              <c:f>'Sheet1 (2)'!$C$6:$C$18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061-433D-A947-33529F29A2C7}"/>
            </c:ext>
          </c:extLst>
        </c:ser>
        <c:ser>
          <c:idx val="5"/>
          <c:order val="5"/>
          <c:tx>
            <c:strRef>
              <c:f>'Sheet1 (2)'!$I$5</c:f>
              <c:strCache>
                <c:ptCount val="1"/>
                <c:pt idx="0">
                  <c:v>1/5/2019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'Sheet1 (2)'!$I$6:$I$18</c:f>
              <c:numCache>
                <c:formatCode>General</c:formatCode>
                <c:ptCount val="13"/>
                <c:pt idx="1">
                  <c:v>3.2000000000000002E-3</c:v>
                </c:pt>
                <c:pt idx="2">
                  <c:v>2.0799999999999999E-2</c:v>
                </c:pt>
                <c:pt idx="3">
                  <c:v>3.2000000000000002E-3</c:v>
                </c:pt>
                <c:pt idx="4">
                  <c:v>1E-3</c:v>
                </c:pt>
                <c:pt idx="5">
                  <c:v>2.2000000000000001E-3</c:v>
                </c:pt>
                <c:pt idx="6">
                  <c:v>5.5999999999999999E-3</c:v>
                </c:pt>
                <c:pt idx="7">
                  <c:v>0.01</c:v>
                </c:pt>
                <c:pt idx="8">
                  <c:v>1.12E-2</c:v>
                </c:pt>
                <c:pt idx="9">
                  <c:v>1.34E-2</c:v>
                </c:pt>
                <c:pt idx="10">
                  <c:v>1.24E-2</c:v>
                </c:pt>
                <c:pt idx="11">
                  <c:v>7.7000000000000002E-3</c:v>
                </c:pt>
                <c:pt idx="12">
                  <c:v>8.2454545454545454E-3</c:v>
                </c:pt>
              </c:numCache>
            </c:numRef>
          </c:xVal>
          <c:yVal>
            <c:numRef>
              <c:f>'Sheet1 (2)'!$C$6:$C$18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061-433D-A947-33529F29A2C7}"/>
            </c:ext>
          </c:extLst>
        </c:ser>
        <c:ser>
          <c:idx val="6"/>
          <c:order val="6"/>
          <c:tx>
            <c:strRef>
              <c:f>'Sheet1 (2)'!$J$5</c:f>
              <c:strCache>
                <c:ptCount val="1"/>
                <c:pt idx="0">
                  <c:v>1/21/2019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(2)'!$J$6:$J$18</c:f>
              <c:numCache>
                <c:formatCode>General</c:formatCode>
                <c:ptCount val="13"/>
                <c:pt idx="1">
                  <c:v>8.8000000000000005E-3</c:v>
                </c:pt>
                <c:pt idx="2">
                  <c:v>2.4E-2</c:v>
                </c:pt>
                <c:pt idx="3">
                  <c:v>6.0000000000000001E-3</c:v>
                </c:pt>
                <c:pt idx="4">
                  <c:v>3.5000000000000001E-3</c:v>
                </c:pt>
                <c:pt idx="5">
                  <c:v>4.3E-3</c:v>
                </c:pt>
                <c:pt idx="6">
                  <c:v>6.6E-3</c:v>
                </c:pt>
                <c:pt idx="7">
                  <c:v>9.7999999999999997E-3</c:v>
                </c:pt>
                <c:pt idx="8">
                  <c:v>1.0999999999999999E-2</c:v>
                </c:pt>
                <c:pt idx="9">
                  <c:v>1.34E-2</c:v>
                </c:pt>
                <c:pt idx="10">
                  <c:v>1.1900000000000001E-2</c:v>
                </c:pt>
                <c:pt idx="11">
                  <c:v>7.9000000000000008E-3</c:v>
                </c:pt>
                <c:pt idx="12">
                  <c:v>9.745454545454545E-3</c:v>
                </c:pt>
              </c:numCache>
            </c:numRef>
          </c:xVal>
          <c:yVal>
            <c:numRef>
              <c:f>'Sheet1 (2)'!$C$6:$C$18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061-433D-A947-33529F29A2C7}"/>
            </c:ext>
          </c:extLst>
        </c:ser>
        <c:ser>
          <c:idx val="7"/>
          <c:order val="7"/>
          <c:tx>
            <c:strRef>
              <c:f>'Sheet1 (2)'!$K$5</c:f>
              <c:strCache>
                <c:ptCount val="1"/>
                <c:pt idx="0">
                  <c:v>2/6/2019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(2)'!$C$6:$C$18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xVal>
          <c:yVal>
            <c:numRef>
              <c:f>'Sheet1 (2)'!$K$6:$K$17</c:f>
              <c:numCache>
                <c:formatCode>General</c:formatCode>
                <c:ptCount val="12"/>
                <c:pt idx="1">
                  <c:v>1.04E-2</c:v>
                </c:pt>
                <c:pt idx="2">
                  <c:v>2.5100000000000001E-2</c:v>
                </c:pt>
                <c:pt idx="3">
                  <c:v>6.4999999999999997E-3</c:v>
                </c:pt>
                <c:pt idx="4">
                  <c:v>4.1000000000000003E-3</c:v>
                </c:pt>
                <c:pt idx="5">
                  <c:v>4.0000000000000001E-3</c:v>
                </c:pt>
                <c:pt idx="6">
                  <c:v>5.7999999999999996E-3</c:v>
                </c:pt>
                <c:pt idx="7">
                  <c:v>8.3999999999999995E-3</c:v>
                </c:pt>
                <c:pt idx="8">
                  <c:v>9.1999999999999998E-3</c:v>
                </c:pt>
                <c:pt idx="9">
                  <c:v>1.1599999999999999E-2</c:v>
                </c:pt>
                <c:pt idx="10">
                  <c:v>1.03E-2</c:v>
                </c:pt>
                <c:pt idx="11">
                  <c:v>6.4000000000000003E-3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061-433D-A947-33529F29A2C7}"/>
            </c:ext>
          </c:extLst>
        </c:ser>
        <c:ser>
          <c:idx val="8"/>
          <c:order val="8"/>
          <c:tx>
            <c:strRef>
              <c:f>'Sheet1 (2)'!$L$5</c:f>
              <c:strCache>
                <c:ptCount val="1"/>
                <c:pt idx="0">
                  <c:v>2/25/2019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(2)'!$C$6:$C$18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xVal>
          <c:yVal>
            <c:numRef>
              <c:f>'Sheet1 (2)'!$L$6:$L$17</c:f>
              <c:numCache>
                <c:formatCode>General</c:formatCode>
                <c:ptCount val="12"/>
                <c:pt idx="1">
                  <c:v>0.01</c:v>
                </c:pt>
                <c:pt idx="2">
                  <c:v>2.52E-2</c:v>
                </c:pt>
                <c:pt idx="3">
                  <c:v>6.6E-3</c:v>
                </c:pt>
                <c:pt idx="4">
                  <c:v>3.8E-3</c:v>
                </c:pt>
                <c:pt idx="5">
                  <c:v>3.3999999999999998E-3</c:v>
                </c:pt>
                <c:pt idx="6">
                  <c:v>4.7000000000000002E-3</c:v>
                </c:pt>
                <c:pt idx="7">
                  <c:v>7.0000000000000001E-3</c:v>
                </c:pt>
                <c:pt idx="8">
                  <c:v>8.2000000000000007E-3</c:v>
                </c:pt>
                <c:pt idx="9">
                  <c:v>1.24E-2</c:v>
                </c:pt>
                <c:pt idx="10">
                  <c:v>1.1299999999999999E-2</c:v>
                </c:pt>
                <c:pt idx="11">
                  <c:v>7.1999999999999998E-3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061-433D-A947-33529F29A2C7}"/>
            </c:ext>
          </c:extLst>
        </c:ser>
        <c:ser>
          <c:idx val="9"/>
          <c:order val="9"/>
          <c:tx>
            <c:strRef>
              <c:f>'Sheet1 (2)'!$M$5</c:f>
              <c:strCache>
                <c:ptCount val="1"/>
                <c:pt idx="0">
                  <c:v>3/13/2019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xVal>
          <c:yVal>
            <c:numRef>
              <c:f>'Sheet1 (2)'!$M$6:$M$17</c:f>
              <c:numCache>
                <c:formatCode>General</c:formatCode>
                <c:ptCount val="12"/>
                <c:pt idx="1">
                  <c:v>1.21E-2</c:v>
                </c:pt>
                <c:pt idx="2">
                  <c:v>2.7099999999999999E-2</c:v>
                </c:pt>
                <c:pt idx="3">
                  <c:v>8.2000000000000007E-3</c:v>
                </c:pt>
                <c:pt idx="4">
                  <c:v>4.8999999999999998E-3</c:v>
                </c:pt>
                <c:pt idx="5">
                  <c:v>4.4000000000000003E-3</c:v>
                </c:pt>
                <c:pt idx="6">
                  <c:v>6.1000000000000004E-3</c:v>
                </c:pt>
                <c:pt idx="7">
                  <c:v>8.9999999999999993E-3</c:v>
                </c:pt>
                <c:pt idx="8">
                  <c:v>1.01E-2</c:v>
                </c:pt>
                <c:pt idx="9">
                  <c:v>1.34E-2</c:v>
                </c:pt>
                <c:pt idx="10">
                  <c:v>1.24E-2</c:v>
                </c:pt>
                <c:pt idx="11">
                  <c:v>7.9000000000000008E-3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061-433D-A947-33529F29A2C7}"/>
            </c:ext>
          </c:extLst>
        </c:ser>
        <c:ser>
          <c:idx val="10"/>
          <c:order val="10"/>
          <c:tx>
            <c:strRef>
              <c:f>'Sheet1 (2)'!$N$5</c:f>
              <c:strCache>
                <c:ptCount val="1"/>
                <c:pt idx="0">
                  <c:v>4/1/2019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xVal>
          <c:yVal>
            <c:numRef>
              <c:f>'Sheet1 (2)'!$N$6:$N$17</c:f>
              <c:numCache>
                <c:formatCode>General</c:formatCode>
                <c:ptCount val="12"/>
                <c:pt idx="1">
                  <c:v>4.8999999999999998E-3</c:v>
                </c:pt>
                <c:pt idx="2">
                  <c:v>1.9800000000000002E-2</c:v>
                </c:pt>
                <c:pt idx="3">
                  <c:v>3.7000000000000002E-3</c:v>
                </c:pt>
                <c:pt idx="4">
                  <c:v>2.5999999999999999E-3</c:v>
                </c:pt>
                <c:pt idx="5">
                  <c:v>2.5999999999999999E-3</c:v>
                </c:pt>
                <c:pt idx="6">
                  <c:v>4.1999999999999997E-3</c:v>
                </c:pt>
                <c:pt idx="7">
                  <c:v>6.6E-3</c:v>
                </c:pt>
                <c:pt idx="8">
                  <c:v>7.9000000000000008E-3</c:v>
                </c:pt>
                <c:pt idx="9">
                  <c:v>1.24E-2</c:v>
                </c:pt>
                <c:pt idx="10">
                  <c:v>1.2200000000000001E-2</c:v>
                </c:pt>
                <c:pt idx="11">
                  <c:v>8.0000000000000002E-3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061-433D-A947-33529F29A2C7}"/>
            </c:ext>
          </c:extLst>
        </c:ser>
        <c:ser>
          <c:idx val="11"/>
          <c:order val="11"/>
          <c:tx>
            <c:strRef>
              <c:f>'Sheet1 (2)'!$O$5</c:f>
              <c:strCache>
                <c:ptCount val="1"/>
                <c:pt idx="0">
                  <c:v>4/10/2019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xVal>
          <c:yVal>
            <c:numRef>
              <c:f>'Sheet1 (2)'!$O$6:$O$17</c:f>
              <c:numCache>
                <c:formatCode>General</c:formatCode>
                <c:ptCount val="12"/>
                <c:pt idx="1">
                  <c:v>1.21E-2</c:v>
                </c:pt>
                <c:pt idx="2">
                  <c:v>2.6599999999999999E-2</c:v>
                </c:pt>
                <c:pt idx="3">
                  <c:v>7.9000000000000008E-3</c:v>
                </c:pt>
                <c:pt idx="4">
                  <c:v>5.0000000000000001E-3</c:v>
                </c:pt>
                <c:pt idx="5">
                  <c:v>4.7999999999999996E-3</c:v>
                </c:pt>
                <c:pt idx="6">
                  <c:v>6.1999999999999998E-3</c:v>
                </c:pt>
                <c:pt idx="7">
                  <c:v>8.3000000000000001E-3</c:v>
                </c:pt>
                <c:pt idx="8">
                  <c:v>8.8000000000000005E-3</c:v>
                </c:pt>
                <c:pt idx="9">
                  <c:v>1.1599999999999999E-2</c:v>
                </c:pt>
                <c:pt idx="10">
                  <c:v>1.1299999999999999E-2</c:v>
                </c:pt>
                <c:pt idx="11">
                  <c:v>7.1999999999999998E-3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061-433D-A947-33529F29A2C7}"/>
            </c:ext>
          </c:extLst>
        </c:ser>
        <c:ser>
          <c:idx val="12"/>
          <c:order val="12"/>
          <c:tx>
            <c:strRef>
              <c:f>'Sheet1 (2)'!$P$5</c:f>
              <c:strCache>
                <c:ptCount val="1"/>
                <c:pt idx="0">
                  <c:v>4/24/2019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xVal>
          <c:yVal>
            <c:numRef>
              <c:f>'Sheet1 (2)'!$P$6:$P$17</c:f>
              <c:numCache>
                <c:formatCode>General</c:formatCode>
                <c:ptCount val="12"/>
                <c:pt idx="1">
                  <c:v>9.1000000000000004E-3</c:v>
                </c:pt>
                <c:pt idx="2">
                  <c:v>2.3599999999999999E-2</c:v>
                </c:pt>
                <c:pt idx="3">
                  <c:v>6.0000000000000001E-3</c:v>
                </c:pt>
                <c:pt idx="4">
                  <c:v>4.0000000000000001E-3</c:v>
                </c:pt>
                <c:pt idx="5">
                  <c:v>3.0999999999999999E-3</c:v>
                </c:pt>
                <c:pt idx="6">
                  <c:v>5.1999999999999998E-3</c:v>
                </c:pt>
                <c:pt idx="7">
                  <c:v>7.0000000000000001E-3</c:v>
                </c:pt>
                <c:pt idx="8">
                  <c:v>8.2000000000000007E-3</c:v>
                </c:pt>
                <c:pt idx="9">
                  <c:v>1.1299999999999999E-2</c:v>
                </c:pt>
                <c:pt idx="10">
                  <c:v>1.12E-2</c:v>
                </c:pt>
                <c:pt idx="11">
                  <c:v>7.1000000000000004E-3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061-433D-A947-33529F29A2C7}"/>
            </c:ext>
          </c:extLst>
        </c:ser>
        <c:ser>
          <c:idx val="13"/>
          <c:order val="13"/>
          <c:tx>
            <c:strRef>
              <c:f>'Sheet1 (2)'!$Q$5</c:f>
              <c:strCache>
                <c:ptCount val="1"/>
                <c:pt idx="0">
                  <c:v>5/15/2019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(2)'!$Q$6:$Q$17</c:f>
              <c:numCache>
                <c:formatCode>General</c:formatCode>
                <c:ptCount val="12"/>
                <c:pt idx="1">
                  <c:v>1.04E-2</c:v>
                </c:pt>
                <c:pt idx="2">
                  <c:v>2.4799999999999999E-2</c:v>
                </c:pt>
                <c:pt idx="3">
                  <c:v>6.1999999999999998E-3</c:v>
                </c:pt>
                <c:pt idx="4">
                  <c:v>3.2000000000000002E-3</c:v>
                </c:pt>
                <c:pt idx="5">
                  <c:v>2.5000000000000001E-3</c:v>
                </c:pt>
                <c:pt idx="6">
                  <c:v>3.5000000000000001E-3</c:v>
                </c:pt>
                <c:pt idx="7">
                  <c:v>4.7999999999999996E-3</c:v>
                </c:pt>
                <c:pt idx="8">
                  <c:v>5.4999999999999997E-3</c:v>
                </c:pt>
                <c:pt idx="9">
                  <c:v>8.3999999999999995E-3</c:v>
                </c:pt>
                <c:pt idx="10">
                  <c:v>8.5000000000000006E-3</c:v>
                </c:pt>
                <c:pt idx="11">
                  <c:v>5.4000000000000003E-3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061-433D-A947-33529F29A2C7}"/>
            </c:ext>
          </c:extLst>
        </c:ser>
        <c:ser>
          <c:idx val="14"/>
          <c:order val="14"/>
          <c:tx>
            <c:strRef>
              <c:f>'Sheet1 (2)'!$R$5</c:f>
              <c:strCache>
                <c:ptCount val="1"/>
                <c:pt idx="0">
                  <c:v>5/29/2019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(2)'!$R$6:$R$17</c:f>
              <c:numCache>
                <c:formatCode>General</c:formatCode>
                <c:ptCount val="12"/>
                <c:pt idx="1">
                  <c:v>1.1900000000000001E-2</c:v>
                </c:pt>
                <c:pt idx="2">
                  <c:v>2.6599999999999999E-2</c:v>
                </c:pt>
                <c:pt idx="3">
                  <c:v>8.8000000000000005E-3</c:v>
                </c:pt>
                <c:pt idx="4">
                  <c:v>6.6E-3</c:v>
                </c:pt>
                <c:pt idx="5">
                  <c:v>6.4000000000000003E-3</c:v>
                </c:pt>
                <c:pt idx="6">
                  <c:v>7.1999999999999998E-3</c:v>
                </c:pt>
                <c:pt idx="7">
                  <c:v>7.4000000000000003E-3</c:v>
                </c:pt>
                <c:pt idx="8">
                  <c:v>6.7999999999999996E-3</c:v>
                </c:pt>
                <c:pt idx="9">
                  <c:v>8.8999999999999999E-3</c:v>
                </c:pt>
                <c:pt idx="10">
                  <c:v>9.7000000000000003E-3</c:v>
                </c:pt>
                <c:pt idx="11">
                  <c:v>6.1000000000000004E-3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061-433D-A947-33529F29A2C7}"/>
            </c:ext>
          </c:extLst>
        </c:ser>
        <c:ser>
          <c:idx val="15"/>
          <c:order val="15"/>
          <c:tx>
            <c:strRef>
              <c:f>'Sheet1 (2)'!$S$5</c:f>
              <c:strCache>
                <c:ptCount val="1"/>
                <c:pt idx="0">
                  <c:v>6/12/2019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(2)'!$S$6:$S$17</c:f>
              <c:numCache>
                <c:formatCode>General</c:formatCode>
                <c:ptCount val="12"/>
                <c:pt idx="1">
                  <c:v>2.18E-2</c:v>
                </c:pt>
                <c:pt idx="2">
                  <c:v>3.5999999999999997E-2</c:v>
                </c:pt>
                <c:pt idx="3">
                  <c:v>1.6899999999999998E-2</c:v>
                </c:pt>
                <c:pt idx="4">
                  <c:v>1.37E-2</c:v>
                </c:pt>
                <c:pt idx="5">
                  <c:v>1.1599999999999999E-2</c:v>
                </c:pt>
                <c:pt idx="6">
                  <c:v>1.1299999999999999E-2</c:v>
                </c:pt>
                <c:pt idx="7">
                  <c:v>1.0699999999999999E-2</c:v>
                </c:pt>
                <c:pt idx="8">
                  <c:v>9.7000000000000003E-3</c:v>
                </c:pt>
                <c:pt idx="9">
                  <c:v>1.0800000000000001E-2</c:v>
                </c:pt>
                <c:pt idx="10">
                  <c:v>1.01E-2</c:v>
                </c:pt>
                <c:pt idx="11">
                  <c:v>6.6E-3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061-433D-A947-33529F29A2C7}"/>
            </c:ext>
          </c:extLst>
        </c:ser>
        <c:ser>
          <c:idx val="16"/>
          <c:order val="16"/>
          <c:tx>
            <c:strRef>
              <c:f>'Sheet1 (2)'!$T$5</c:f>
              <c:strCache>
                <c:ptCount val="1"/>
                <c:pt idx="0">
                  <c:v>7/8/2019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(2)'!$T$6:$T$17</c:f>
              <c:numCache>
                <c:formatCode>General</c:formatCode>
                <c:ptCount val="12"/>
                <c:pt idx="1">
                  <c:v>3.0999999999999999E-3</c:v>
                </c:pt>
                <c:pt idx="2">
                  <c:v>4.1399999999999999E-2</c:v>
                </c:pt>
                <c:pt idx="3">
                  <c:v>2.2800000000000001E-2</c:v>
                </c:pt>
                <c:pt idx="4">
                  <c:v>1.9E-2</c:v>
                </c:pt>
                <c:pt idx="5">
                  <c:v>1.61E-2</c:v>
                </c:pt>
                <c:pt idx="6">
                  <c:v>1.4999999999999999E-2</c:v>
                </c:pt>
                <c:pt idx="7">
                  <c:v>1.4200000000000001E-2</c:v>
                </c:pt>
                <c:pt idx="8">
                  <c:v>1.37E-2</c:v>
                </c:pt>
                <c:pt idx="9">
                  <c:v>1.4200000000000001E-2</c:v>
                </c:pt>
                <c:pt idx="10">
                  <c:v>1.26E-2</c:v>
                </c:pt>
                <c:pt idx="11">
                  <c:v>7.3000000000000001E-3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061-433D-A947-33529F29A2C7}"/>
            </c:ext>
          </c:extLst>
        </c:ser>
        <c:ser>
          <c:idx val="17"/>
          <c:order val="17"/>
          <c:tx>
            <c:strRef>
              <c:f>'Sheet1 (2)'!$U$5</c:f>
              <c:strCache>
                <c:ptCount val="1"/>
                <c:pt idx="0">
                  <c:v>7/24/2019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(2)'!$U$6:$U$17</c:f>
              <c:numCache>
                <c:formatCode>General</c:formatCode>
                <c:ptCount val="12"/>
                <c:pt idx="1">
                  <c:v>2.2100000000000002E-2</c:v>
                </c:pt>
                <c:pt idx="2">
                  <c:v>4.5600000000000002E-2</c:v>
                </c:pt>
                <c:pt idx="3">
                  <c:v>2.7199999999999998E-2</c:v>
                </c:pt>
                <c:pt idx="4">
                  <c:v>2.29E-2</c:v>
                </c:pt>
                <c:pt idx="5">
                  <c:v>1.9599999999999999E-2</c:v>
                </c:pt>
                <c:pt idx="6">
                  <c:v>1.72E-2</c:v>
                </c:pt>
                <c:pt idx="7">
                  <c:v>1.4999999999999999E-2</c:v>
                </c:pt>
                <c:pt idx="8">
                  <c:v>1.37E-2</c:v>
                </c:pt>
                <c:pt idx="9">
                  <c:v>1.32E-2</c:v>
                </c:pt>
                <c:pt idx="10">
                  <c:v>1.1599999999999999E-2</c:v>
                </c:pt>
                <c:pt idx="11">
                  <c:v>7.1000000000000004E-3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B061-433D-A947-33529F29A2C7}"/>
            </c:ext>
          </c:extLst>
        </c:ser>
        <c:ser>
          <c:idx val="18"/>
          <c:order val="18"/>
          <c:tx>
            <c:strRef>
              <c:f>'Sheet1 (2)'!$V$5</c:f>
              <c:strCache>
                <c:ptCount val="1"/>
                <c:pt idx="0">
                  <c:v>8/16/2019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(2)'!$V$6:$V$17</c:f>
              <c:numCache>
                <c:formatCode>General</c:formatCode>
                <c:ptCount val="12"/>
                <c:pt idx="1">
                  <c:v>2.3900000000000001E-2</c:v>
                </c:pt>
                <c:pt idx="2">
                  <c:v>5.0999999999999997E-2</c:v>
                </c:pt>
                <c:pt idx="3">
                  <c:v>3.3500000000000002E-2</c:v>
                </c:pt>
                <c:pt idx="4">
                  <c:v>2.9399999999999999E-2</c:v>
                </c:pt>
                <c:pt idx="5">
                  <c:v>2.5899999999999999E-2</c:v>
                </c:pt>
                <c:pt idx="6">
                  <c:v>2.3E-2</c:v>
                </c:pt>
                <c:pt idx="7">
                  <c:v>2.0199999999999999E-2</c:v>
                </c:pt>
                <c:pt idx="8">
                  <c:v>1.7999999999999999E-2</c:v>
                </c:pt>
                <c:pt idx="9">
                  <c:v>1.67E-2</c:v>
                </c:pt>
                <c:pt idx="10">
                  <c:v>1.5100000000000001E-2</c:v>
                </c:pt>
                <c:pt idx="11">
                  <c:v>8.9999999999999993E-3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B061-433D-A947-33529F29A2C7}"/>
            </c:ext>
          </c:extLst>
        </c:ser>
        <c:ser>
          <c:idx val="19"/>
          <c:order val="19"/>
          <c:tx>
            <c:strRef>
              <c:f>'Sheet1 (2)'!$W$5</c:f>
              <c:strCache>
                <c:ptCount val="1"/>
                <c:pt idx="0">
                  <c:v>8/30/2019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(2)'!$W$6:$W$17</c:f>
              <c:numCache>
                <c:formatCode>General</c:formatCode>
                <c:ptCount val="12"/>
                <c:pt idx="1">
                  <c:v>3.8399999999999997E-2</c:v>
                </c:pt>
                <c:pt idx="2">
                  <c:v>5.5899999999999998E-2</c:v>
                </c:pt>
                <c:pt idx="3">
                  <c:v>3.7699999999999997E-2</c:v>
                </c:pt>
                <c:pt idx="4">
                  <c:v>3.3399999999999999E-2</c:v>
                </c:pt>
                <c:pt idx="5">
                  <c:v>2.9399999999999999E-2</c:v>
                </c:pt>
                <c:pt idx="6">
                  <c:v>2.6499999999999999E-2</c:v>
                </c:pt>
                <c:pt idx="7">
                  <c:v>2.3E-2</c:v>
                </c:pt>
                <c:pt idx="8">
                  <c:v>2.0899999999999998E-2</c:v>
                </c:pt>
                <c:pt idx="9">
                  <c:v>1.9300000000000001E-2</c:v>
                </c:pt>
                <c:pt idx="10">
                  <c:v>1.66E-2</c:v>
                </c:pt>
                <c:pt idx="11">
                  <c:v>9.4000000000000004E-3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061-433D-A947-33529F29A2C7}"/>
            </c:ext>
          </c:extLst>
        </c:ser>
        <c:ser>
          <c:idx val="20"/>
          <c:order val="20"/>
          <c:tx>
            <c:strRef>
              <c:f>'Sheet1 (2)'!$X$5</c:f>
              <c:strCache>
                <c:ptCount val="1"/>
                <c:pt idx="0">
                  <c:v>9/25/2019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(2)'!$X$7:$X$17</c:f>
              <c:numCache>
                <c:formatCode>General</c:formatCode>
                <c:ptCount val="11"/>
                <c:pt idx="0">
                  <c:v>1.6999999999999999E-3</c:v>
                </c:pt>
                <c:pt idx="1">
                  <c:v>5.1999999999999998E-2</c:v>
                </c:pt>
                <c:pt idx="2">
                  <c:v>3.49E-2</c:v>
                </c:pt>
                <c:pt idx="3">
                  <c:v>3.1699999999999999E-2</c:v>
                </c:pt>
                <c:pt idx="4">
                  <c:v>2.92E-2</c:v>
                </c:pt>
                <c:pt idx="5">
                  <c:v>2.69E-2</c:v>
                </c:pt>
                <c:pt idx="6">
                  <c:v>2.3800000000000002E-2</c:v>
                </c:pt>
                <c:pt idx="7">
                  <c:v>2.1499999999999998E-2</c:v>
                </c:pt>
                <c:pt idx="8">
                  <c:v>1.8100000000000002E-2</c:v>
                </c:pt>
                <c:pt idx="9">
                  <c:v>1.5699999999999999E-2</c:v>
                </c:pt>
                <c:pt idx="10">
                  <c:v>6.4999999999999997E-3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A7-4693-8524-0085A291E814}"/>
            </c:ext>
          </c:extLst>
        </c:ser>
        <c:ser>
          <c:idx val="21"/>
          <c:order val="21"/>
          <c:tx>
            <c:strRef>
              <c:f>'Sheet1 (2)'!$Y$5</c:f>
              <c:strCache>
                <c:ptCount val="1"/>
                <c:pt idx="0">
                  <c:v>10/10/2019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(2)'!$Y$7:$Y$17</c:f>
              <c:numCache>
                <c:formatCode>General</c:formatCode>
                <c:ptCount val="11"/>
                <c:pt idx="0">
                  <c:v>6.7999999999999996E-3</c:v>
                </c:pt>
                <c:pt idx="1">
                  <c:v>6.8599999999999994E-2</c:v>
                </c:pt>
                <c:pt idx="2">
                  <c:v>5.1499999999999997E-2</c:v>
                </c:pt>
                <c:pt idx="3">
                  <c:v>4.6399999999999997E-2</c:v>
                </c:pt>
                <c:pt idx="4">
                  <c:v>4.2500000000000003E-2</c:v>
                </c:pt>
                <c:pt idx="5">
                  <c:v>3.8800000000000001E-2</c:v>
                </c:pt>
                <c:pt idx="6">
                  <c:v>3.4700000000000002E-2</c:v>
                </c:pt>
                <c:pt idx="7">
                  <c:v>3.1300000000000001E-2</c:v>
                </c:pt>
                <c:pt idx="8">
                  <c:v>2.7199999999999998E-2</c:v>
                </c:pt>
                <c:pt idx="9">
                  <c:v>2.29E-2</c:v>
                </c:pt>
                <c:pt idx="10">
                  <c:v>1.2500000000000001E-2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A7-4693-8524-0085A291E814}"/>
            </c:ext>
          </c:extLst>
        </c:ser>
        <c:ser>
          <c:idx val="22"/>
          <c:order val="22"/>
          <c:tx>
            <c:strRef>
              <c:f>'Sheet1 (2)'!$Z$5</c:f>
              <c:strCache>
                <c:ptCount val="1"/>
                <c:pt idx="0">
                  <c:v>11/1/2019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(2)'!$Z$7:$Z$17</c:f>
              <c:numCache>
                <c:formatCode>General</c:formatCode>
                <c:ptCount val="11"/>
                <c:pt idx="0">
                  <c:v>4.5199999999999997E-2</c:v>
                </c:pt>
                <c:pt idx="1">
                  <c:v>6.2300000000000001E-2</c:v>
                </c:pt>
                <c:pt idx="2">
                  <c:v>4.7500000000000001E-2</c:v>
                </c:pt>
                <c:pt idx="3">
                  <c:v>4.4200000000000003E-2</c:v>
                </c:pt>
                <c:pt idx="4">
                  <c:v>4.2000000000000003E-2</c:v>
                </c:pt>
                <c:pt idx="5">
                  <c:v>3.9E-2</c:v>
                </c:pt>
                <c:pt idx="6">
                  <c:v>3.5799999999999998E-2</c:v>
                </c:pt>
                <c:pt idx="7">
                  <c:v>3.2599999999999997E-2</c:v>
                </c:pt>
                <c:pt idx="8">
                  <c:v>2.92E-2</c:v>
                </c:pt>
                <c:pt idx="9">
                  <c:v>2.6200000000000001E-2</c:v>
                </c:pt>
                <c:pt idx="10">
                  <c:v>1.4800000000000001E-2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A7-4693-8524-0085A291E814}"/>
            </c:ext>
          </c:extLst>
        </c:ser>
        <c:ser>
          <c:idx val="23"/>
          <c:order val="23"/>
          <c:tx>
            <c:strRef>
              <c:f>'Sheet1 (2)'!$AA$5</c:f>
              <c:strCache>
                <c:ptCount val="1"/>
                <c:pt idx="0">
                  <c:v>11/21/2019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(2)'!$AA$7:$AA$17</c:f>
              <c:numCache>
                <c:formatCode>General</c:formatCode>
                <c:ptCount val="11"/>
                <c:pt idx="0">
                  <c:v>1.2800000000000001E-2</c:v>
                </c:pt>
                <c:pt idx="1">
                  <c:v>7.7299999999999994E-2</c:v>
                </c:pt>
                <c:pt idx="2">
                  <c:v>0.06</c:v>
                </c:pt>
                <c:pt idx="3">
                  <c:v>5.5800000000000002E-2</c:v>
                </c:pt>
                <c:pt idx="4">
                  <c:v>5.2299999999999999E-2</c:v>
                </c:pt>
                <c:pt idx="5">
                  <c:v>4.9000000000000002E-2</c:v>
                </c:pt>
                <c:pt idx="6">
                  <c:v>4.48E-2</c:v>
                </c:pt>
                <c:pt idx="7">
                  <c:v>4.1799999999999997E-2</c:v>
                </c:pt>
                <c:pt idx="8">
                  <c:v>3.7999999999999999E-2</c:v>
                </c:pt>
                <c:pt idx="9">
                  <c:v>3.1899999999999998E-2</c:v>
                </c:pt>
                <c:pt idx="10">
                  <c:v>1.78E-2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23-4281-9820-017F27F685A4}"/>
            </c:ext>
          </c:extLst>
        </c:ser>
        <c:ser>
          <c:idx val="24"/>
          <c:order val="24"/>
          <c:tx>
            <c:strRef>
              <c:f>'Sheet1 (2)'!$AB$5</c:f>
              <c:strCache>
                <c:ptCount val="1"/>
                <c:pt idx="0">
                  <c:v>12/7/2019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(2)'!$AB$7:$AB$17</c:f>
              <c:numCache>
                <c:formatCode>General</c:formatCode>
                <c:ptCount val="11"/>
                <c:pt idx="0">
                  <c:v>1.2800000000000001E-2</c:v>
                </c:pt>
                <c:pt idx="1">
                  <c:v>7.7299999999999994E-2</c:v>
                </c:pt>
                <c:pt idx="2">
                  <c:v>0.06</c:v>
                </c:pt>
                <c:pt idx="3">
                  <c:v>5.5800000000000002E-2</c:v>
                </c:pt>
                <c:pt idx="4">
                  <c:v>5.2299999999999999E-2</c:v>
                </c:pt>
                <c:pt idx="5">
                  <c:v>4.9000000000000002E-2</c:v>
                </c:pt>
                <c:pt idx="6">
                  <c:v>4.48E-2</c:v>
                </c:pt>
                <c:pt idx="7">
                  <c:v>4.1799999999999997E-2</c:v>
                </c:pt>
                <c:pt idx="8">
                  <c:v>3.7999999999999999E-2</c:v>
                </c:pt>
                <c:pt idx="9">
                  <c:v>3.1899999999999998E-2</c:v>
                </c:pt>
                <c:pt idx="10">
                  <c:v>1.78E-2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23-4281-9820-017F27F685A4}"/>
            </c:ext>
          </c:extLst>
        </c:ser>
        <c:ser>
          <c:idx val="25"/>
          <c:order val="25"/>
          <c:tx>
            <c:strRef>
              <c:f>'Sheet1 (2)'!$AC$5</c:f>
              <c:strCache>
                <c:ptCount val="1"/>
                <c:pt idx="0">
                  <c:v>12/18/2019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(2)'!$AC$7:$AC$17</c:f>
              <c:numCache>
                <c:formatCode>General</c:formatCode>
                <c:ptCount val="11"/>
                <c:pt idx="0">
                  <c:v>1.2800000000000001E-2</c:v>
                </c:pt>
                <c:pt idx="1">
                  <c:v>6.83E-2</c:v>
                </c:pt>
                <c:pt idx="2">
                  <c:v>4.5600000000000002E-2</c:v>
                </c:pt>
                <c:pt idx="3">
                  <c:v>4.1599999999999998E-2</c:v>
                </c:pt>
                <c:pt idx="4">
                  <c:v>4.0899999999999999E-2</c:v>
                </c:pt>
                <c:pt idx="5">
                  <c:v>4.1599999999999998E-2</c:v>
                </c:pt>
                <c:pt idx="6">
                  <c:v>4.1500000000000002E-2</c:v>
                </c:pt>
                <c:pt idx="7">
                  <c:v>3.9699999999999999E-2</c:v>
                </c:pt>
                <c:pt idx="8">
                  <c:v>3.7600000000000001E-2</c:v>
                </c:pt>
                <c:pt idx="9">
                  <c:v>3.44E-2</c:v>
                </c:pt>
                <c:pt idx="10">
                  <c:v>2.0199999999999999E-2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30-4512-80C1-6829978F5221}"/>
            </c:ext>
          </c:extLst>
        </c:ser>
        <c:ser>
          <c:idx val="26"/>
          <c:order val="26"/>
          <c:tx>
            <c:strRef>
              <c:f>'Sheet1 (2)'!$AD$5</c:f>
              <c:strCache>
                <c:ptCount val="1"/>
                <c:pt idx="0">
                  <c:v>1/9/2020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(2)'!$AD$7:$AD$17</c:f>
              <c:numCache>
                <c:formatCode>General</c:formatCode>
                <c:ptCount val="11"/>
                <c:pt idx="0">
                  <c:v>1.2800000000000001E-2</c:v>
                </c:pt>
                <c:pt idx="1">
                  <c:v>5.7099999999999998E-2</c:v>
                </c:pt>
                <c:pt idx="2">
                  <c:v>3.3599999999999998E-2</c:v>
                </c:pt>
                <c:pt idx="3">
                  <c:v>3.0499999999999999E-2</c:v>
                </c:pt>
                <c:pt idx="4">
                  <c:v>0.03</c:v>
                </c:pt>
                <c:pt idx="5">
                  <c:v>3.1399999999999997E-2</c:v>
                </c:pt>
                <c:pt idx="6">
                  <c:v>3.2599999999999997E-2</c:v>
                </c:pt>
                <c:pt idx="7">
                  <c:v>3.1300000000000001E-2</c:v>
                </c:pt>
                <c:pt idx="8">
                  <c:v>0.03</c:v>
                </c:pt>
                <c:pt idx="9">
                  <c:v>2.8000000000000001E-2</c:v>
                </c:pt>
                <c:pt idx="10">
                  <c:v>1.37E-2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30-4512-80C1-6829978F5221}"/>
            </c:ext>
          </c:extLst>
        </c:ser>
        <c:ser>
          <c:idx val="27"/>
          <c:order val="27"/>
          <c:tx>
            <c:strRef>
              <c:f>'Sheet1 (2)'!$AE$5</c:f>
              <c:strCache>
                <c:ptCount val="1"/>
                <c:pt idx="0">
                  <c:v>2/8/2020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(2)'!$AE$7:$AE$17</c:f>
              <c:numCache>
                <c:formatCode>General</c:formatCode>
                <c:ptCount val="11"/>
                <c:pt idx="0">
                  <c:v>1.2800000000000001E-2</c:v>
                </c:pt>
                <c:pt idx="1">
                  <c:v>6.13E-2</c:v>
                </c:pt>
                <c:pt idx="2">
                  <c:v>3.7900000000000003E-2</c:v>
                </c:pt>
                <c:pt idx="3">
                  <c:v>3.3599999999999998E-2</c:v>
                </c:pt>
                <c:pt idx="4">
                  <c:v>3.3399999999999999E-2</c:v>
                </c:pt>
                <c:pt idx="5">
                  <c:v>3.5400000000000001E-2</c:v>
                </c:pt>
                <c:pt idx="6">
                  <c:v>3.6799999999999999E-2</c:v>
                </c:pt>
                <c:pt idx="7">
                  <c:v>3.5999999999999997E-2</c:v>
                </c:pt>
                <c:pt idx="8">
                  <c:v>3.5799999999999998E-2</c:v>
                </c:pt>
                <c:pt idx="9">
                  <c:v>3.49E-2</c:v>
                </c:pt>
                <c:pt idx="10">
                  <c:v>2.1499999999999998E-2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530-4512-80C1-6829978F5221}"/>
            </c:ext>
          </c:extLst>
        </c:ser>
        <c:ser>
          <c:idx val="28"/>
          <c:order val="28"/>
          <c:tx>
            <c:strRef>
              <c:f>'Sheet1 (2)'!$AF$5</c:f>
              <c:strCache>
                <c:ptCount val="1"/>
                <c:pt idx="0">
                  <c:v>3/12/2020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(2)'!$AF$7:$AF$17</c:f>
              <c:numCache>
                <c:formatCode>General</c:formatCode>
                <c:ptCount val="11"/>
                <c:pt idx="0">
                  <c:v>1.7399999999999999E-2</c:v>
                </c:pt>
                <c:pt idx="1">
                  <c:v>5.0799999999999998E-2</c:v>
                </c:pt>
                <c:pt idx="2">
                  <c:v>2.81E-2</c:v>
                </c:pt>
                <c:pt idx="3">
                  <c:v>2.5399999999999999E-2</c:v>
                </c:pt>
                <c:pt idx="4">
                  <c:v>2.6499999999999999E-2</c:v>
                </c:pt>
                <c:pt idx="5">
                  <c:v>2.9899999999999999E-2</c:v>
                </c:pt>
                <c:pt idx="6">
                  <c:v>3.2300000000000002E-2</c:v>
                </c:pt>
                <c:pt idx="7">
                  <c:v>3.1699999999999999E-2</c:v>
                </c:pt>
                <c:pt idx="8">
                  <c:v>3.1E-2</c:v>
                </c:pt>
                <c:pt idx="9">
                  <c:v>3.2500000000000001E-2</c:v>
                </c:pt>
                <c:pt idx="10">
                  <c:v>2.0500000000000001E-2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57-495F-9B30-C7A99FAD8121}"/>
            </c:ext>
          </c:extLst>
        </c:ser>
        <c:ser>
          <c:idx val="29"/>
          <c:order val="29"/>
          <c:tx>
            <c:strRef>
              <c:f>'Sheet1 (2)'!$AG$5</c:f>
              <c:strCache>
                <c:ptCount val="1"/>
                <c:pt idx="0">
                  <c:v>4/3/2020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(2)'!$AG$7:$AG$17</c:f>
              <c:numCache>
                <c:formatCode>General</c:formatCode>
                <c:ptCount val="11"/>
                <c:pt idx="0">
                  <c:v>1.03E-2</c:v>
                </c:pt>
                <c:pt idx="1">
                  <c:v>5.0599999999999999E-2</c:v>
                </c:pt>
                <c:pt idx="2">
                  <c:v>2.7799999999999998E-2</c:v>
                </c:pt>
                <c:pt idx="3">
                  <c:v>2.47E-2</c:v>
                </c:pt>
                <c:pt idx="4">
                  <c:v>2.5899999999999999E-2</c:v>
                </c:pt>
                <c:pt idx="5">
                  <c:v>2.9000000000000001E-2</c:v>
                </c:pt>
                <c:pt idx="6">
                  <c:v>3.1699999999999999E-2</c:v>
                </c:pt>
                <c:pt idx="7">
                  <c:v>3.1E-2</c:v>
                </c:pt>
                <c:pt idx="8">
                  <c:v>3.04E-2</c:v>
                </c:pt>
                <c:pt idx="9">
                  <c:v>3.2399999999999998E-2</c:v>
                </c:pt>
                <c:pt idx="10">
                  <c:v>2.0400000000000001E-2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57-495F-9B30-C7A99FAD8121}"/>
            </c:ext>
          </c:extLst>
        </c:ser>
        <c:ser>
          <c:idx val="30"/>
          <c:order val="30"/>
          <c:tx>
            <c:strRef>
              <c:f>'Sheet1 (2)'!$AH$5</c:f>
              <c:strCache>
                <c:ptCount val="1"/>
                <c:pt idx="0">
                  <c:v>5/2/2020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(2)'!$AH$7:$AH$17</c:f>
              <c:numCache>
                <c:formatCode>General</c:formatCode>
                <c:ptCount val="11"/>
                <c:pt idx="0">
                  <c:v>8.2000000000000007E-3</c:v>
                </c:pt>
                <c:pt idx="1">
                  <c:v>5.6800000000000003E-2</c:v>
                </c:pt>
                <c:pt idx="2">
                  <c:v>3.3000000000000002E-2</c:v>
                </c:pt>
                <c:pt idx="3">
                  <c:v>2.9600000000000001E-2</c:v>
                </c:pt>
                <c:pt idx="4">
                  <c:v>0.03</c:v>
                </c:pt>
                <c:pt idx="5">
                  <c:v>3.2399999999999998E-2</c:v>
                </c:pt>
                <c:pt idx="6">
                  <c:v>3.3799999999999997E-2</c:v>
                </c:pt>
                <c:pt idx="7">
                  <c:v>3.2399999999999998E-2</c:v>
                </c:pt>
                <c:pt idx="8">
                  <c:v>3.0499999999999999E-2</c:v>
                </c:pt>
                <c:pt idx="9">
                  <c:v>3.2800000000000003E-2</c:v>
                </c:pt>
                <c:pt idx="10">
                  <c:v>2.0899999999999998E-2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C8-4B7A-BFEA-74D8E7122767}"/>
            </c:ext>
          </c:extLst>
        </c:ser>
        <c:ser>
          <c:idx val="31"/>
          <c:order val="31"/>
          <c:tx>
            <c:strRef>
              <c:f>'Sheet1 (2)'!$AI$5</c:f>
              <c:strCache>
                <c:ptCount val="1"/>
                <c:pt idx="0">
                  <c:v>5/31/2020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(2)'!$AI$7:$AI$17</c:f>
              <c:numCache>
                <c:formatCode>General</c:formatCode>
                <c:ptCount val="11"/>
                <c:pt idx="0">
                  <c:v>1.46E-2</c:v>
                </c:pt>
                <c:pt idx="1">
                  <c:v>5.5E-2</c:v>
                </c:pt>
                <c:pt idx="2">
                  <c:v>3.2199999999999999E-2</c:v>
                </c:pt>
                <c:pt idx="3">
                  <c:v>2.9399999999999999E-2</c:v>
                </c:pt>
                <c:pt idx="4">
                  <c:v>3.0499999999999999E-2</c:v>
                </c:pt>
                <c:pt idx="5">
                  <c:v>3.3500000000000002E-2</c:v>
                </c:pt>
                <c:pt idx="6">
                  <c:v>3.44E-2</c:v>
                </c:pt>
                <c:pt idx="7">
                  <c:v>3.2399999999999998E-2</c:v>
                </c:pt>
                <c:pt idx="8">
                  <c:v>2.92E-2</c:v>
                </c:pt>
                <c:pt idx="9">
                  <c:v>3.1699999999999999E-2</c:v>
                </c:pt>
                <c:pt idx="10">
                  <c:v>2.0299999999999999E-2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C8-4B7A-BFEA-74D8E7122767}"/>
            </c:ext>
          </c:extLst>
        </c:ser>
        <c:ser>
          <c:idx val="32"/>
          <c:order val="32"/>
          <c:tx>
            <c:strRef>
              <c:f>'Sheet1 (2)'!$AJ$5</c:f>
              <c:strCache>
                <c:ptCount val="1"/>
                <c:pt idx="0">
                  <c:v>7/12/2020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(2)'!$AJ$7:$AJ$17</c:f>
              <c:numCache>
                <c:formatCode>General</c:formatCode>
                <c:ptCount val="11"/>
                <c:pt idx="0">
                  <c:v>1.03E-2</c:v>
                </c:pt>
                <c:pt idx="1">
                  <c:v>6.1199999999999997E-2</c:v>
                </c:pt>
                <c:pt idx="2">
                  <c:v>3.9199999999999999E-2</c:v>
                </c:pt>
                <c:pt idx="3">
                  <c:v>3.6400000000000002E-2</c:v>
                </c:pt>
                <c:pt idx="4">
                  <c:v>3.7199999999999997E-2</c:v>
                </c:pt>
                <c:pt idx="5">
                  <c:v>3.95E-2</c:v>
                </c:pt>
                <c:pt idx="6">
                  <c:v>3.9399999999999998E-2</c:v>
                </c:pt>
                <c:pt idx="7">
                  <c:v>3.6400000000000002E-2</c:v>
                </c:pt>
                <c:pt idx="8">
                  <c:v>3.0700000000000002E-2</c:v>
                </c:pt>
                <c:pt idx="9">
                  <c:v>3.2399999999999998E-2</c:v>
                </c:pt>
                <c:pt idx="10">
                  <c:v>2.0899999999999998E-2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7C8-4B7A-BFEA-74D8E7122767}"/>
            </c:ext>
          </c:extLst>
        </c:ser>
        <c:ser>
          <c:idx val="33"/>
          <c:order val="33"/>
          <c:tx>
            <c:strRef>
              <c:f>'Sheet1 (2)'!$AK$5</c:f>
              <c:strCache>
                <c:ptCount val="1"/>
                <c:pt idx="0">
                  <c:v>9/4/2020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(2)'!$AK$7:$AK$17</c:f>
              <c:numCache>
                <c:formatCode>General</c:formatCode>
                <c:ptCount val="11"/>
                <c:pt idx="0">
                  <c:v>4.6800000000000001E-2</c:v>
                </c:pt>
                <c:pt idx="1">
                  <c:v>6.6400000000000001E-2</c:v>
                </c:pt>
                <c:pt idx="2">
                  <c:v>4.2799999999999998E-2</c:v>
                </c:pt>
                <c:pt idx="3">
                  <c:v>4.02E-2</c:v>
                </c:pt>
                <c:pt idx="4">
                  <c:v>4.1799999999999997E-2</c:v>
                </c:pt>
                <c:pt idx="5">
                  <c:v>4.5499999999999999E-2</c:v>
                </c:pt>
                <c:pt idx="6">
                  <c:v>4.58E-2</c:v>
                </c:pt>
                <c:pt idx="7">
                  <c:v>4.19E-2</c:v>
                </c:pt>
                <c:pt idx="8">
                  <c:v>3.3700000000000001E-2</c:v>
                </c:pt>
                <c:pt idx="9">
                  <c:v>3.61E-2</c:v>
                </c:pt>
                <c:pt idx="10">
                  <c:v>2.3300000000000001E-2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E0-4126-A5E6-58222CF51E6F}"/>
            </c:ext>
          </c:extLst>
        </c:ser>
        <c:ser>
          <c:idx val="34"/>
          <c:order val="34"/>
          <c:tx>
            <c:strRef>
              <c:f>'Sheet1 (2)'!$AL$5</c:f>
              <c:strCache>
                <c:ptCount val="1"/>
                <c:pt idx="0">
                  <c:v>11/3/2020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(2)'!$AL$7:$AL$17</c:f>
              <c:numCache>
                <c:formatCode>General</c:formatCode>
                <c:ptCount val="11"/>
                <c:pt idx="0">
                  <c:v>0.62880000000000003</c:v>
                </c:pt>
                <c:pt idx="1">
                  <c:v>0.54190000000000005</c:v>
                </c:pt>
                <c:pt idx="2">
                  <c:v>0.42380000000000001</c:v>
                </c:pt>
                <c:pt idx="3">
                  <c:v>0.30559999999999998</c:v>
                </c:pt>
                <c:pt idx="4">
                  <c:v>0.19089999999999999</c:v>
                </c:pt>
                <c:pt idx="5">
                  <c:v>0.1062</c:v>
                </c:pt>
                <c:pt idx="6">
                  <c:v>8.8099999999999998E-2</c:v>
                </c:pt>
                <c:pt idx="7">
                  <c:v>0.1018</c:v>
                </c:pt>
                <c:pt idx="8">
                  <c:v>7.0800000000000002E-2</c:v>
                </c:pt>
                <c:pt idx="9">
                  <c:v>3.3700000000000001E-2</c:v>
                </c:pt>
                <c:pt idx="10">
                  <c:v>1.0999999999999999E-2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E0-4126-A5E6-58222CF51E6F}"/>
            </c:ext>
          </c:extLst>
        </c:ser>
        <c:ser>
          <c:idx val="35"/>
          <c:order val="35"/>
          <c:tx>
            <c:strRef>
              <c:f>'Sheet1 (2)'!$AM$5</c:f>
              <c:strCache>
                <c:ptCount val="1"/>
                <c:pt idx="0">
                  <c:v>2/4/2021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(2)'!$AM$7:$AM$17</c:f>
              <c:numCache>
                <c:formatCode>General</c:formatCode>
                <c:ptCount val="11"/>
                <c:pt idx="0">
                  <c:v>0.59809999999999997</c:v>
                </c:pt>
                <c:pt idx="1">
                  <c:v>0.51339999999999997</c:v>
                </c:pt>
                <c:pt idx="2">
                  <c:v>0.40160000000000001</c:v>
                </c:pt>
                <c:pt idx="3">
                  <c:v>0.2923</c:v>
                </c:pt>
                <c:pt idx="4">
                  <c:v>0.18759999999999999</c:v>
                </c:pt>
                <c:pt idx="5">
                  <c:v>0.10979999999999999</c:v>
                </c:pt>
                <c:pt idx="6">
                  <c:v>9.0999999999999998E-2</c:v>
                </c:pt>
                <c:pt idx="7">
                  <c:v>0.1069</c:v>
                </c:pt>
                <c:pt idx="8">
                  <c:v>8.5900000000000004E-2</c:v>
                </c:pt>
                <c:pt idx="9">
                  <c:v>4.8599999999999997E-2</c:v>
                </c:pt>
                <c:pt idx="10">
                  <c:v>1.7999999999999999E-2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E0-4126-A5E6-58222CF51E6F}"/>
            </c:ext>
          </c:extLst>
        </c:ser>
        <c:ser>
          <c:idx val="36"/>
          <c:order val="36"/>
          <c:tx>
            <c:strRef>
              <c:f>'Sheet1 (2)'!$AN$5</c:f>
              <c:strCache>
                <c:ptCount val="1"/>
                <c:pt idx="0">
                  <c:v>6/8/2021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(2)'!$AN$7:$AN$17</c:f>
              <c:numCache>
                <c:formatCode>General</c:formatCode>
                <c:ptCount val="11"/>
                <c:pt idx="0">
                  <c:v>0.62839999999999996</c:v>
                </c:pt>
                <c:pt idx="1">
                  <c:v>0.53979999999999995</c:v>
                </c:pt>
                <c:pt idx="2">
                  <c:v>0.42199999999999999</c:v>
                </c:pt>
                <c:pt idx="3">
                  <c:v>0.30590000000000001</c:v>
                </c:pt>
                <c:pt idx="4">
                  <c:v>0.19400000000000001</c:v>
                </c:pt>
                <c:pt idx="5">
                  <c:v>0.1118</c:v>
                </c:pt>
                <c:pt idx="6">
                  <c:v>9.2200000000000004E-2</c:v>
                </c:pt>
                <c:pt idx="7">
                  <c:v>0.1079</c:v>
                </c:pt>
                <c:pt idx="8">
                  <c:v>8.3799999999999999E-2</c:v>
                </c:pt>
                <c:pt idx="9">
                  <c:v>4.7399999999999998E-2</c:v>
                </c:pt>
                <c:pt idx="10">
                  <c:v>1.8200000000000001E-2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CC-42D6-BF18-83DFD2CBFA07}"/>
            </c:ext>
          </c:extLst>
        </c:ser>
        <c:ser>
          <c:idx val="37"/>
          <c:order val="37"/>
          <c:tx>
            <c:strRef>
              <c:f>'Sheet1 (2)'!$AO$5</c:f>
              <c:strCache>
                <c:ptCount val="1"/>
                <c:pt idx="0">
                  <c:v>2/21/2022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(2)'!$AO$7:$AO$17</c:f>
              <c:numCache>
                <c:formatCode>General</c:formatCode>
                <c:ptCount val="11"/>
                <c:pt idx="0">
                  <c:v>0.73839999999999995</c:v>
                </c:pt>
                <c:pt idx="1">
                  <c:v>0.64580000000000004</c:v>
                </c:pt>
                <c:pt idx="2">
                  <c:v>0.52500000000000002</c:v>
                </c:pt>
                <c:pt idx="3">
                  <c:v>0.40739999999999998</c:v>
                </c:pt>
                <c:pt idx="4">
                  <c:v>0.2944</c:v>
                </c:pt>
                <c:pt idx="5">
                  <c:v>0.21060000000000001</c:v>
                </c:pt>
                <c:pt idx="6">
                  <c:v>0.1915</c:v>
                </c:pt>
                <c:pt idx="7">
                  <c:v>0.2056</c:v>
                </c:pt>
                <c:pt idx="8">
                  <c:v>0.1736</c:v>
                </c:pt>
                <c:pt idx="9">
                  <c:v>0.12709999999999999</c:v>
                </c:pt>
                <c:pt idx="10">
                  <c:v>6.1699999999999998E-2</c:v>
                </c:pt>
              </c:numCache>
            </c:numRef>
          </c:xVal>
          <c:yVal>
            <c:numRef>
              <c:f>'Sheet1 (2)'!$C$6:$C$17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39-40D7-A9F0-9166B98C0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704056"/>
        <c:axId val="624697168"/>
      </c:scatterChart>
      <c:valAx>
        <c:axId val="624704056"/>
        <c:scaling>
          <c:orientation val="minMax"/>
          <c:max val="1"/>
          <c:min val="-1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Displacement (in)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24697168"/>
        <c:crosses val="autoZero"/>
        <c:crossBetween val="midCat"/>
      </c:valAx>
      <c:valAx>
        <c:axId val="624697168"/>
        <c:scaling>
          <c:orientation val="maxMin"/>
          <c:max val="3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Depth (ft)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24704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Metro Center Slope-SI 2B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'Sheet1 (2)'!$D$5</c:f>
              <c:strCache>
                <c:ptCount val="1"/>
                <c:pt idx="0">
                  <c:v>10/6/2018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'Sheet1 (2)'!$D$6:$D$18</c:f>
              <c:numCache>
                <c:formatCode>General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xVal>
          <c:yVal>
            <c:numRef>
              <c:f>'Sheet1 (2)'!$C$6:$C$18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92-4CD1-92C4-78AA4115E189}"/>
            </c:ext>
          </c:extLst>
        </c:ser>
        <c:ser>
          <c:idx val="1"/>
          <c:order val="1"/>
          <c:tx>
            <c:strRef>
              <c:f>'Sheet1 (2)'!$E$5</c:f>
              <c:strCache>
                <c:ptCount val="1"/>
                <c:pt idx="0">
                  <c:v>10/31/2018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'Sheet1 (2)'!$E$27:$E$39</c:f>
              <c:numCache>
                <c:formatCode>General</c:formatCode>
                <c:ptCount val="13"/>
                <c:pt idx="1">
                  <c:v>1.8E-3</c:v>
                </c:pt>
                <c:pt idx="2">
                  <c:v>1.8E-3</c:v>
                </c:pt>
                <c:pt idx="3">
                  <c:v>4.1999999999999997E-3</c:v>
                </c:pt>
                <c:pt idx="4">
                  <c:v>4.1999999999999997E-3</c:v>
                </c:pt>
                <c:pt idx="5">
                  <c:v>4.3E-3</c:v>
                </c:pt>
                <c:pt idx="6">
                  <c:v>1.6999999999999999E-3</c:v>
                </c:pt>
                <c:pt idx="7">
                  <c:v>1.1999999999999999E-3</c:v>
                </c:pt>
                <c:pt idx="8">
                  <c:v>6.0000000000000001E-3</c:v>
                </c:pt>
                <c:pt idx="9">
                  <c:v>9.5999999999999992E-3</c:v>
                </c:pt>
                <c:pt idx="10">
                  <c:v>7.3000000000000001E-3</c:v>
                </c:pt>
                <c:pt idx="11">
                  <c:v>5.7999999999999996E-3</c:v>
                </c:pt>
                <c:pt idx="12">
                  <c:v>4.3545454545454547E-3</c:v>
                </c:pt>
              </c:numCache>
            </c:numRef>
          </c:xVal>
          <c:yVal>
            <c:numRef>
              <c:f>'Sheet1 (2)'!$C$6:$C$18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92-4CD1-92C4-78AA4115E189}"/>
            </c:ext>
          </c:extLst>
        </c:ser>
        <c:ser>
          <c:idx val="2"/>
          <c:order val="2"/>
          <c:tx>
            <c:strRef>
              <c:f>'Sheet1 (2)'!$F$5</c:f>
              <c:strCache>
                <c:ptCount val="1"/>
                <c:pt idx="0">
                  <c:v>11/13/2018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'Sheet1 (2)'!$F$27:$F$39</c:f>
              <c:numCache>
                <c:formatCode>General</c:formatCode>
                <c:ptCount val="13"/>
                <c:pt idx="1">
                  <c:v>1.52E-2</c:v>
                </c:pt>
                <c:pt idx="2">
                  <c:v>6.7000000000000002E-3</c:v>
                </c:pt>
                <c:pt idx="3">
                  <c:v>3.7000000000000002E-3</c:v>
                </c:pt>
                <c:pt idx="4">
                  <c:v>3.0000000000000001E-3</c:v>
                </c:pt>
                <c:pt idx="5">
                  <c:v>4.7000000000000002E-3</c:v>
                </c:pt>
                <c:pt idx="6">
                  <c:v>1.2999999999999999E-3</c:v>
                </c:pt>
                <c:pt idx="7">
                  <c:v>2.3E-3</c:v>
                </c:pt>
                <c:pt idx="8">
                  <c:v>3.8E-3</c:v>
                </c:pt>
                <c:pt idx="9">
                  <c:v>5.3E-3</c:v>
                </c:pt>
                <c:pt idx="10">
                  <c:v>7.9000000000000008E-3</c:v>
                </c:pt>
                <c:pt idx="11">
                  <c:v>4.4000000000000003E-3</c:v>
                </c:pt>
                <c:pt idx="12">
                  <c:v>5.3E-3</c:v>
                </c:pt>
              </c:numCache>
            </c:numRef>
          </c:xVal>
          <c:yVal>
            <c:numRef>
              <c:f>'Sheet1 (2)'!$C$6:$C$18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92-4CD1-92C4-78AA4115E189}"/>
            </c:ext>
          </c:extLst>
        </c:ser>
        <c:ser>
          <c:idx val="3"/>
          <c:order val="3"/>
          <c:tx>
            <c:strRef>
              <c:f>'Sheet1 (2)'!$G$5</c:f>
              <c:strCache>
                <c:ptCount val="1"/>
                <c:pt idx="0">
                  <c:v>12/5/2018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'Sheet1 (2)'!$G$27:$G$39</c:f>
              <c:numCache>
                <c:formatCode>General</c:formatCode>
                <c:ptCount val="13"/>
                <c:pt idx="1">
                  <c:v>1.21E-2</c:v>
                </c:pt>
                <c:pt idx="2">
                  <c:v>7.1999999999999998E-3</c:v>
                </c:pt>
                <c:pt idx="3">
                  <c:v>5.1999999999999998E-3</c:v>
                </c:pt>
                <c:pt idx="4">
                  <c:v>4.1000000000000003E-3</c:v>
                </c:pt>
                <c:pt idx="5">
                  <c:v>3.7000000000000002E-3</c:v>
                </c:pt>
                <c:pt idx="6">
                  <c:v>1E-4</c:v>
                </c:pt>
                <c:pt idx="7">
                  <c:v>3.0999999999999999E-3</c:v>
                </c:pt>
                <c:pt idx="8">
                  <c:v>2.5000000000000001E-3</c:v>
                </c:pt>
                <c:pt idx="9">
                  <c:v>4.8999999999999998E-3</c:v>
                </c:pt>
                <c:pt idx="10">
                  <c:v>4.8999999999999998E-3</c:v>
                </c:pt>
                <c:pt idx="11">
                  <c:v>3.5000000000000001E-3</c:v>
                </c:pt>
                <c:pt idx="12">
                  <c:v>4.6636363636363637E-3</c:v>
                </c:pt>
              </c:numCache>
            </c:numRef>
          </c:xVal>
          <c:yVal>
            <c:numRef>
              <c:f>'Sheet1 (2)'!$C$6:$C$18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92-4CD1-92C4-78AA4115E189}"/>
            </c:ext>
          </c:extLst>
        </c:ser>
        <c:ser>
          <c:idx val="4"/>
          <c:order val="4"/>
          <c:tx>
            <c:strRef>
              <c:f>'Sheet1 (2)'!$H$5</c:f>
              <c:strCache>
                <c:ptCount val="1"/>
                <c:pt idx="0">
                  <c:v>12/18/2018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'Sheet1 (2)'!$H$27:$H$39</c:f>
              <c:numCache>
                <c:formatCode>General</c:formatCode>
                <c:ptCount val="13"/>
                <c:pt idx="1">
                  <c:v>9.4999999999999998E-3</c:v>
                </c:pt>
                <c:pt idx="2">
                  <c:v>1.2E-2</c:v>
                </c:pt>
                <c:pt idx="3">
                  <c:v>6.6E-3</c:v>
                </c:pt>
                <c:pt idx="4">
                  <c:v>4.7999999999999996E-3</c:v>
                </c:pt>
                <c:pt idx="5">
                  <c:v>6.1000000000000004E-3</c:v>
                </c:pt>
                <c:pt idx="6">
                  <c:v>3.7000000000000002E-3</c:v>
                </c:pt>
                <c:pt idx="7">
                  <c:v>1.4E-3</c:v>
                </c:pt>
                <c:pt idx="8">
                  <c:v>1.4E-3</c:v>
                </c:pt>
                <c:pt idx="9">
                  <c:v>6.7999999999999996E-3</c:v>
                </c:pt>
                <c:pt idx="10">
                  <c:v>9.7999999999999997E-3</c:v>
                </c:pt>
                <c:pt idx="11">
                  <c:v>3.8E-3</c:v>
                </c:pt>
                <c:pt idx="12">
                  <c:v>5.990909090909091E-3</c:v>
                </c:pt>
              </c:numCache>
            </c:numRef>
          </c:xVal>
          <c:yVal>
            <c:numRef>
              <c:f>'Sheet1 (2)'!$C$6:$C$18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92-4CD1-92C4-78AA4115E189}"/>
            </c:ext>
          </c:extLst>
        </c:ser>
        <c:ser>
          <c:idx val="5"/>
          <c:order val="5"/>
          <c:tx>
            <c:strRef>
              <c:f>'Sheet1 (2)'!$I$5</c:f>
              <c:strCache>
                <c:ptCount val="1"/>
                <c:pt idx="0">
                  <c:v>1/5/2019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'Sheet1 (2)'!$I$27:$I$39</c:f>
              <c:numCache>
                <c:formatCode>General</c:formatCode>
                <c:ptCount val="13"/>
                <c:pt idx="1">
                  <c:v>2.8E-3</c:v>
                </c:pt>
                <c:pt idx="2">
                  <c:v>5.4999999999999997E-3</c:v>
                </c:pt>
                <c:pt idx="3">
                  <c:v>4.1000000000000003E-3</c:v>
                </c:pt>
                <c:pt idx="4">
                  <c:v>3.7000000000000002E-3</c:v>
                </c:pt>
                <c:pt idx="5">
                  <c:v>4.7999999999999996E-3</c:v>
                </c:pt>
                <c:pt idx="6">
                  <c:v>1.4E-3</c:v>
                </c:pt>
                <c:pt idx="7">
                  <c:v>2E-3</c:v>
                </c:pt>
                <c:pt idx="8">
                  <c:v>2E-3</c:v>
                </c:pt>
                <c:pt idx="9">
                  <c:v>4.1999999999999997E-3</c:v>
                </c:pt>
                <c:pt idx="10">
                  <c:v>5.3E-3</c:v>
                </c:pt>
                <c:pt idx="11">
                  <c:v>1.2999999999999999E-3</c:v>
                </c:pt>
                <c:pt idx="12">
                  <c:v>3.3727272727272733E-3</c:v>
                </c:pt>
              </c:numCache>
            </c:numRef>
          </c:xVal>
          <c:yVal>
            <c:numRef>
              <c:f>'Sheet1 (2)'!$C$6:$C$18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192-4CD1-92C4-78AA4115E189}"/>
            </c:ext>
          </c:extLst>
        </c:ser>
        <c:ser>
          <c:idx val="6"/>
          <c:order val="6"/>
          <c:tx>
            <c:strRef>
              <c:f>'Sheet1 (2)'!$J$5</c:f>
              <c:strCache>
                <c:ptCount val="1"/>
                <c:pt idx="0">
                  <c:v>1/21/2019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(2)'!$J$27:$J$39</c:f>
              <c:numCache>
                <c:formatCode>General</c:formatCode>
                <c:ptCount val="13"/>
                <c:pt idx="1">
                  <c:v>9.7999999999999997E-3</c:v>
                </c:pt>
                <c:pt idx="2">
                  <c:v>6.6E-3</c:v>
                </c:pt>
                <c:pt idx="3">
                  <c:v>6.4999999999999997E-3</c:v>
                </c:pt>
                <c:pt idx="4">
                  <c:v>5.8999999999999999E-3</c:v>
                </c:pt>
                <c:pt idx="5">
                  <c:v>4.8999999999999998E-3</c:v>
                </c:pt>
                <c:pt idx="6">
                  <c:v>8.2000000000000007E-3</c:v>
                </c:pt>
                <c:pt idx="7">
                  <c:v>1.03E-2</c:v>
                </c:pt>
                <c:pt idx="8">
                  <c:v>8.3999999999999995E-3</c:v>
                </c:pt>
                <c:pt idx="9">
                  <c:v>9.4999999999999998E-3</c:v>
                </c:pt>
                <c:pt idx="10">
                  <c:v>1.01E-2</c:v>
                </c:pt>
                <c:pt idx="11">
                  <c:v>2.5000000000000001E-3</c:v>
                </c:pt>
                <c:pt idx="12">
                  <c:v>7.518181818181818E-3</c:v>
                </c:pt>
              </c:numCache>
            </c:numRef>
          </c:xVal>
          <c:yVal>
            <c:numRef>
              <c:f>'Sheet1 (2)'!$C$6:$C$18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192-4CD1-92C4-78AA4115E189}"/>
            </c:ext>
          </c:extLst>
        </c:ser>
        <c:ser>
          <c:idx val="7"/>
          <c:order val="7"/>
          <c:tx>
            <c:strRef>
              <c:f>'Sheet1 (2)'!$K$26</c:f>
              <c:strCache>
                <c:ptCount val="1"/>
                <c:pt idx="0">
                  <c:v>2/6/2019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(2)'!$C$27:$C$39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xVal>
          <c:yVal>
            <c:numRef>
              <c:f>'Sheet1 (2)'!$K$27:$K$38</c:f>
              <c:numCache>
                <c:formatCode>General</c:formatCode>
                <c:ptCount val="12"/>
                <c:pt idx="1">
                  <c:v>4.1999999999999997E-3</c:v>
                </c:pt>
                <c:pt idx="2">
                  <c:v>2.5000000000000001E-3</c:v>
                </c:pt>
                <c:pt idx="3">
                  <c:v>1.4E-3</c:v>
                </c:pt>
                <c:pt idx="4">
                  <c:v>2.8E-3</c:v>
                </c:pt>
                <c:pt idx="5">
                  <c:v>3.5999999999999999E-3</c:v>
                </c:pt>
                <c:pt idx="6">
                  <c:v>2E-3</c:v>
                </c:pt>
                <c:pt idx="7">
                  <c:v>4.3E-3</c:v>
                </c:pt>
                <c:pt idx="8">
                  <c:v>3.0000000000000001E-3</c:v>
                </c:pt>
                <c:pt idx="9">
                  <c:v>3.3999999999999998E-3</c:v>
                </c:pt>
                <c:pt idx="10">
                  <c:v>3.3999999999999998E-3</c:v>
                </c:pt>
                <c:pt idx="11">
                  <c:v>1.4E-3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192-4CD1-92C4-78AA4115E189}"/>
            </c:ext>
          </c:extLst>
        </c:ser>
        <c:ser>
          <c:idx val="8"/>
          <c:order val="8"/>
          <c:tx>
            <c:strRef>
              <c:f>'Sheet1 (2)'!$L$26</c:f>
              <c:strCache>
                <c:ptCount val="1"/>
                <c:pt idx="0">
                  <c:v>2/25/2019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(2)'!$C$27:$C$39</c:f>
              <c:numCache>
                <c:formatCode>0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xVal>
          <c:yVal>
            <c:numRef>
              <c:f>'Sheet1 (2)'!$L$27:$L$38</c:f>
              <c:numCache>
                <c:formatCode>General</c:formatCode>
                <c:ptCount val="12"/>
                <c:pt idx="1">
                  <c:v>3.5000000000000001E-3</c:v>
                </c:pt>
                <c:pt idx="2">
                  <c:v>4.7000000000000002E-3</c:v>
                </c:pt>
                <c:pt idx="3">
                  <c:v>2.5000000000000001E-3</c:v>
                </c:pt>
                <c:pt idx="4">
                  <c:v>3.7000000000000002E-3</c:v>
                </c:pt>
                <c:pt idx="5">
                  <c:v>4.8999999999999998E-3</c:v>
                </c:pt>
                <c:pt idx="6">
                  <c:v>1E-4</c:v>
                </c:pt>
                <c:pt idx="7">
                  <c:v>1.9E-3</c:v>
                </c:pt>
                <c:pt idx="8">
                  <c:v>1.6999999999999999E-3</c:v>
                </c:pt>
                <c:pt idx="9">
                  <c:v>1.4E-3</c:v>
                </c:pt>
                <c:pt idx="10">
                  <c:v>1.2999999999999999E-3</c:v>
                </c:pt>
                <c:pt idx="11">
                  <c:v>1.2999999999999999E-3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192-4CD1-92C4-78AA4115E189}"/>
            </c:ext>
          </c:extLst>
        </c:ser>
        <c:ser>
          <c:idx val="9"/>
          <c:order val="9"/>
          <c:tx>
            <c:strRef>
              <c:f>'Sheet1 (2)'!$M$26</c:f>
              <c:strCache>
                <c:ptCount val="1"/>
                <c:pt idx="0">
                  <c:v>3/13/2019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xVal>
          <c:yVal>
            <c:numRef>
              <c:f>'Sheet1 (2)'!$M$27:$M$38</c:f>
              <c:numCache>
                <c:formatCode>General</c:formatCode>
                <c:ptCount val="12"/>
                <c:pt idx="1">
                  <c:v>5.9999999999999995E-4</c:v>
                </c:pt>
                <c:pt idx="2">
                  <c:v>3.0999999999999999E-3</c:v>
                </c:pt>
                <c:pt idx="3">
                  <c:v>5.8999999999999999E-3</c:v>
                </c:pt>
                <c:pt idx="4">
                  <c:v>4.1000000000000003E-3</c:v>
                </c:pt>
                <c:pt idx="5">
                  <c:v>4.3E-3</c:v>
                </c:pt>
                <c:pt idx="6">
                  <c:v>7.7000000000000002E-3</c:v>
                </c:pt>
                <c:pt idx="7">
                  <c:v>8.8000000000000005E-3</c:v>
                </c:pt>
                <c:pt idx="8">
                  <c:v>1.01E-2</c:v>
                </c:pt>
                <c:pt idx="9">
                  <c:v>8.9999999999999993E-3</c:v>
                </c:pt>
                <c:pt idx="10">
                  <c:v>8.8000000000000005E-3</c:v>
                </c:pt>
                <c:pt idx="11">
                  <c:v>3.8E-3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192-4CD1-92C4-78AA4115E189}"/>
            </c:ext>
          </c:extLst>
        </c:ser>
        <c:ser>
          <c:idx val="10"/>
          <c:order val="10"/>
          <c:tx>
            <c:strRef>
              <c:f>'Sheet1 (2)'!$N$26</c:f>
              <c:strCache>
                <c:ptCount val="1"/>
                <c:pt idx="0">
                  <c:v>4/1/2019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xVal>
          <c:yVal>
            <c:numRef>
              <c:f>'Sheet1 (2)'!$N$27:$N$38</c:f>
              <c:numCache>
                <c:formatCode>General</c:formatCode>
                <c:ptCount val="12"/>
                <c:pt idx="1">
                  <c:v>1E-4</c:v>
                </c:pt>
                <c:pt idx="2">
                  <c:v>3.8E-3</c:v>
                </c:pt>
                <c:pt idx="3">
                  <c:v>3.3999999999999998E-3</c:v>
                </c:pt>
                <c:pt idx="4">
                  <c:v>3.7000000000000002E-3</c:v>
                </c:pt>
                <c:pt idx="5">
                  <c:v>4.7000000000000002E-3</c:v>
                </c:pt>
                <c:pt idx="6">
                  <c:v>2.0000000000000001E-4</c:v>
                </c:pt>
                <c:pt idx="7">
                  <c:v>2.8E-3</c:v>
                </c:pt>
                <c:pt idx="8">
                  <c:v>1.6000000000000001E-3</c:v>
                </c:pt>
                <c:pt idx="9">
                  <c:v>3.0000000000000001E-3</c:v>
                </c:pt>
                <c:pt idx="10">
                  <c:v>3.7000000000000002E-3</c:v>
                </c:pt>
                <c:pt idx="11">
                  <c:v>2.0000000000000001E-4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192-4CD1-92C4-78AA4115E189}"/>
            </c:ext>
          </c:extLst>
        </c:ser>
        <c:ser>
          <c:idx val="11"/>
          <c:order val="11"/>
          <c:tx>
            <c:strRef>
              <c:f>'Sheet1 (2)'!$O$26</c:f>
              <c:strCache>
                <c:ptCount val="1"/>
                <c:pt idx="0">
                  <c:v>4/10/2019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xVal>
          <c:yVal>
            <c:numRef>
              <c:f>'Sheet1 (2)'!$O$27:$O$38</c:f>
              <c:numCache>
                <c:formatCode>General</c:formatCode>
                <c:ptCount val="12"/>
                <c:pt idx="1">
                  <c:v>1.2E-2</c:v>
                </c:pt>
                <c:pt idx="2">
                  <c:v>1.3599999999999999E-2</c:v>
                </c:pt>
                <c:pt idx="3">
                  <c:v>9.7000000000000003E-3</c:v>
                </c:pt>
                <c:pt idx="4">
                  <c:v>0.01</c:v>
                </c:pt>
                <c:pt idx="5">
                  <c:v>1.0699999999999999E-2</c:v>
                </c:pt>
                <c:pt idx="6">
                  <c:v>8.3000000000000001E-3</c:v>
                </c:pt>
                <c:pt idx="7">
                  <c:v>4.5999999999999999E-3</c:v>
                </c:pt>
                <c:pt idx="8">
                  <c:v>4.8999999999999998E-3</c:v>
                </c:pt>
                <c:pt idx="9">
                  <c:v>2.8E-3</c:v>
                </c:pt>
                <c:pt idx="10">
                  <c:v>4.0000000000000002E-4</c:v>
                </c:pt>
                <c:pt idx="11">
                  <c:v>1.1999999999999999E-3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E192-4CD1-92C4-78AA4115E189}"/>
            </c:ext>
          </c:extLst>
        </c:ser>
        <c:ser>
          <c:idx val="12"/>
          <c:order val="12"/>
          <c:tx>
            <c:strRef>
              <c:f>'Sheet1 (2)'!$P$26</c:f>
              <c:strCache>
                <c:ptCount val="1"/>
                <c:pt idx="0">
                  <c:v>4/24/2019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xVal>
          <c:yVal>
            <c:numRef>
              <c:f>'Sheet1 (2)'!$P$27:$P$38</c:f>
              <c:numCache>
                <c:formatCode>General</c:formatCode>
                <c:ptCount val="12"/>
                <c:pt idx="1">
                  <c:v>1.3299999999999999E-2</c:v>
                </c:pt>
                <c:pt idx="2">
                  <c:v>1.32E-2</c:v>
                </c:pt>
                <c:pt idx="3">
                  <c:v>1.0699999999999999E-2</c:v>
                </c:pt>
                <c:pt idx="4">
                  <c:v>1.0699999999999999E-2</c:v>
                </c:pt>
                <c:pt idx="5">
                  <c:v>1.15E-2</c:v>
                </c:pt>
                <c:pt idx="6">
                  <c:v>6.7999999999999996E-3</c:v>
                </c:pt>
                <c:pt idx="7">
                  <c:v>2.2000000000000001E-3</c:v>
                </c:pt>
                <c:pt idx="8">
                  <c:v>2.2000000000000001E-3</c:v>
                </c:pt>
                <c:pt idx="9">
                  <c:v>1E-3</c:v>
                </c:pt>
                <c:pt idx="10">
                  <c:v>2.5999999999999999E-3</c:v>
                </c:pt>
                <c:pt idx="11">
                  <c:v>2.5999999999999999E-3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E192-4CD1-92C4-78AA4115E189}"/>
            </c:ext>
          </c:extLst>
        </c:ser>
        <c:ser>
          <c:idx val="13"/>
          <c:order val="13"/>
          <c:tx>
            <c:strRef>
              <c:f>'Sheet1 (2)'!$Q$26</c:f>
              <c:strCache>
                <c:ptCount val="1"/>
                <c:pt idx="0">
                  <c:v>5/15/2019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(2)'!$Q$27:$Q$38</c:f>
              <c:numCache>
                <c:formatCode>General</c:formatCode>
                <c:ptCount val="12"/>
                <c:pt idx="1">
                  <c:v>1.8100000000000002E-2</c:v>
                </c:pt>
                <c:pt idx="2">
                  <c:v>1.66E-2</c:v>
                </c:pt>
                <c:pt idx="3">
                  <c:v>1.4E-2</c:v>
                </c:pt>
                <c:pt idx="4">
                  <c:v>1.44E-2</c:v>
                </c:pt>
                <c:pt idx="5">
                  <c:v>1.49E-2</c:v>
                </c:pt>
                <c:pt idx="6">
                  <c:v>1.14E-2</c:v>
                </c:pt>
                <c:pt idx="7">
                  <c:v>8.5000000000000006E-3</c:v>
                </c:pt>
                <c:pt idx="8">
                  <c:v>1.09E-2</c:v>
                </c:pt>
                <c:pt idx="9">
                  <c:v>8.3000000000000001E-3</c:v>
                </c:pt>
                <c:pt idx="10">
                  <c:v>4.7999999999999996E-3</c:v>
                </c:pt>
                <c:pt idx="11">
                  <c:v>4.4000000000000003E-3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192-4CD1-92C4-78AA4115E189}"/>
            </c:ext>
          </c:extLst>
        </c:ser>
        <c:ser>
          <c:idx val="14"/>
          <c:order val="14"/>
          <c:tx>
            <c:strRef>
              <c:f>'Sheet1 (2)'!$R$26</c:f>
              <c:strCache>
                <c:ptCount val="1"/>
                <c:pt idx="0">
                  <c:v>5/29/2019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(2)'!$R$27:$R$38</c:f>
              <c:numCache>
                <c:formatCode>General</c:formatCode>
                <c:ptCount val="12"/>
                <c:pt idx="1">
                  <c:v>3.4299999999999997E-2</c:v>
                </c:pt>
                <c:pt idx="2">
                  <c:v>2.9399999999999999E-2</c:v>
                </c:pt>
                <c:pt idx="3">
                  <c:v>2.24E-2</c:v>
                </c:pt>
                <c:pt idx="4">
                  <c:v>2.0199999999999999E-2</c:v>
                </c:pt>
                <c:pt idx="5">
                  <c:v>1.9800000000000002E-2</c:v>
                </c:pt>
                <c:pt idx="6">
                  <c:v>1.72E-2</c:v>
                </c:pt>
                <c:pt idx="7">
                  <c:v>1.2200000000000001E-2</c:v>
                </c:pt>
                <c:pt idx="8">
                  <c:v>1.1900000000000001E-2</c:v>
                </c:pt>
                <c:pt idx="9">
                  <c:v>6.6E-3</c:v>
                </c:pt>
                <c:pt idx="10">
                  <c:v>1.1999999999999999E-3</c:v>
                </c:pt>
                <c:pt idx="11">
                  <c:v>2.5000000000000001E-3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E192-4CD1-92C4-78AA4115E189}"/>
            </c:ext>
          </c:extLst>
        </c:ser>
        <c:ser>
          <c:idx val="15"/>
          <c:order val="15"/>
          <c:tx>
            <c:strRef>
              <c:f>'Sheet1 (2)'!$S$26</c:f>
              <c:strCache>
                <c:ptCount val="1"/>
                <c:pt idx="0">
                  <c:v>6/12/2019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(2)'!$S$27:$S$38</c:f>
              <c:numCache>
                <c:formatCode>General</c:formatCode>
                <c:ptCount val="12"/>
                <c:pt idx="1">
                  <c:v>3.6600000000000001E-2</c:v>
                </c:pt>
                <c:pt idx="2">
                  <c:v>2.9600000000000001E-2</c:v>
                </c:pt>
                <c:pt idx="3">
                  <c:v>2.5700000000000001E-2</c:v>
                </c:pt>
                <c:pt idx="4">
                  <c:v>2.4E-2</c:v>
                </c:pt>
                <c:pt idx="5">
                  <c:v>2.24E-2</c:v>
                </c:pt>
                <c:pt idx="6">
                  <c:v>1.67E-2</c:v>
                </c:pt>
                <c:pt idx="7">
                  <c:v>1.26E-2</c:v>
                </c:pt>
                <c:pt idx="8">
                  <c:v>1.2699999999999999E-2</c:v>
                </c:pt>
                <c:pt idx="9">
                  <c:v>8.3999999999999995E-3</c:v>
                </c:pt>
                <c:pt idx="10">
                  <c:v>3.5999999999999999E-3</c:v>
                </c:pt>
                <c:pt idx="11">
                  <c:v>3.5000000000000001E-3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E192-4CD1-92C4-78AA4115E189}"/>
            </c:ext>
          </c:extLst>
        </c:ser>
        <c:ser>
          <c:idx val="16"/>
          <c:order val="16"/>
          <c:tx>
            <c:strRef>
              <c:f>'Sheet1 (2)'!$T$26</c:f>
              <c:strCache>
                <c:ptCount val="1"/>
                <c:pt idx="0">
                  <c:v>7/8/2019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(2)'!$T$27:$T$38</c:f>
              <c:numCache>
                <c:formatCode>General</c:formatCode>
                <c:ptCount val="12"/>
                <c:pt idx="1">
                  <c:v>2.93E-2</c:v>
                </c:pt>
                <c:pt idx="2">
                  <c:v>2.5999999999999999E-2</c:v>
                </c:pt>
                <c:pt idx="3">
                  <c:v>2.2599999999999999E-2</c:v>
                </c:pt>
                <c:pt idx="4">
                  <c:v>2.3199999999999998E-2</c:v>
                </c:pt>
                <c:pt idx="5">
                  <c:v>2.2700000000000001E-2</c:v>
                </c:pt>
                <c:pt idx="6">
                  <c:v>1.6799999999999999E-2</c:v>
                </c:pt>
                <c:pt idx="7">
                  <c:v>1.09E-2</c:v>
                </c:pt>
                <c:pt idx="8">
                  <c:v>1.04E-2</c:v>
                </c:pt>
                <c:pt idx="9">
                  <c:v>7.7999999999999996E-3</c:v>
                </c:pt>
                <c:pt idx="10">
                  <c:v>4.5999999999999999E-3</c:v>
                </c:pt>
                <c:pt idx="11">
                  <c:v>3.5000000000000001E-3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E192-4CD1-92C4-78AA4115E189}"/>
            </c:ext>
          </c:extLst>
        </c:ser>
        <c:ser>
          <c:idx val="17"/>
          <c:order val="17"/>
          <c:tx>
            <c:strRef>
              <c:f>'Sheet1 (2)'!$U$26</c:f>
              <c:strCache>
                <c:ptCount val="1"/>
                <c:pt idx="0">
                  <c:v>7/24/2019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(2)'!$U$27:$U$38</c:f>
              <c:numCache>
                <c:formatCode>General</c:formatCode>
                <c:ptCount val="12"/>
                <c:pt idx="1">
                  <c:v>3.9399999999999998E-2</c:v>
                </c:pt>
                <c:pt idx="2">
                  <c:v>1.9199999999999998E-2</c:v>
                </c:pt>
                <c:pt idx="3">
                  <c:v>1.9300000000000001E-2</c:v>
                </c:pt>
                <c:pt idx="4">
                  <c:v>1.8599999999999998E-2</c:v>
                </c:pt>
                <c:pt idx="5">
                  <c:v>2.0799999999999999E-2</c:v>
                </c:pt>
                <c:pt idx="6">
                  <c:v>1.5800000000000002E-2</c:v>
                </c:pt>
                <c:pt idx="7">
                  <c:v>1.15E-2</c:v>
                </c:pt>
                <c:pt idx="8">
                  <c:v>9.1000000000000004E-3</c:v>
                </c:pt>
                <c:pt idx="9">
                  <c:v>4.4000000000000003E-3</c:v>
                </c:pt>
                <c:pt idx="10">
                  <c:v>2.0000000000000001E-4</c:v>
                </c:pt>
                <c:pt idx="11">
                  <c:v>3.2000000000000002E-3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E192-4CD1-92C4-78AA4115E189}"/>
            </c:ext>
          </c:extLst>
        </c:ser>
        <c:ser>
          <c:idx val="18"/>
          <c:order val="18"/>
          <c:tx>
            <c:strRef>
              <c:f>'Sheet1 (2)'!$V$26</c:f>
              <c:strCache>
                <c:ptCount val="1"/>
                <c:pt idx="0">
                  <c:v>8/16/2019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(2)'!$V$27:$V$38</c:f>
              <c:numCache>
                <c:formatCode>General</c:formatCode>
                <c:ptCount val="12"/>
                <c:pt idx="1">
                  <c:v>3.1800000000000002E-2</c:v>
                </c:pt>
                <c:pt idx="2">
                  <c:v>2.6800000000000001E-2</c:v>
                </c:pt>
                <c:pt idx="3">
                  <c:v>2.1399999999999999E-2</c:v>
                </c:pt>
                <c:pt idx="4">
                  <c:v>1.8499999999999999E-2</c:v>
                </c:pt>
                <c:pt idx="5">
                  <c:v>1.7399999999999999E-2</c:v>
                </c:pt>
                <c:pt idx="6">
                  <c:v>1.1299999999999999E-2</c:v>
                </c:pt>
                <c:pt idx="7">
                  <c:v>4.7000000000000002E-3</c:v>
                </c:pt>
                <c:pt idx="8">
                  <c:v>2.5999999999999999E-3</c:v>
                </c:pt>
                <c:pt idx="9">
                  <c:v>2.0000000000000001E-4</c:v>
                </c:pt>
                <c:pt idx="10">
                  <c:v>3.0999999999999999E-3</c:v>
                </c:pt>
                <c:pt idx="11">
                  <c:v>1E-3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E192-4CD1-92C4-78AA4115E189}"/>
            </c:ext>
          </c:extLst>
        </c:ser>
        <c:ser>
          <c:idx val="19"/>
          <c:order val="19"/>
          <c:tx>
            <c:strRef>
              <c:f>'Sheet1 (2)'!$W$26</c:f>
              <c:strCache>
                <c:ptCount val="1"/>
                <c:pt idx="0">
                  <c:v>8/30/2019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(2)'!$W$27:$W$38</c:f>
              <c:numCache>
                <c:formatCode>General</c:formatCode>
                <c:ptCount val="12"/>
                <c:pt idx="1">
                  <c:v>6.4399999999999999E-2</c:v>
                </c:pt>
                <c:pt idx="2">
                  <c:v>3.8899999999999997E-2</c:v>
                </c:pt>
                <c:pt idx="3">
                  <c:v>3.2000000000000001E-2</c:v>
                </c:pt>
                <c:pt idx="4">
                  <c:v>3.04E-2</c:v>
                </c:pt>
                <c:pt idx="5">
                  <c:v>2.98E-2</c:v>
                </c:pt>
                <c:pt idx="6">
                  <c:v>2.3800000000000002E-2</c:v>
                </c:pt>
                <c:pt idx="7">
                  <c:v>1.7600000000000001E-2</c:v>
                </c:pt>
                <c:pt idx="8">
                  <c:v>1.4999999999999999E-2</c:v>
                </c:pt>
                <c:pt idx="9">
                  <c:v>1.0200000000000001E-2</c:v>
                </c:pt>
                <c:pt idx="10">
                  <c:v>5.4999999999999997E-3</c:v>
                </c:pt>
                <c:pt idx="11">
                  <c:v>5.0000000000000001E-3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E192-4CD1-92C4-78AA4115E189}"/>
            </c:ext>
          </c:extLst>
        </c:ser>
        <c:ser>
          <c:idx val="20"/>
          <c:order val="20"/>
          <c:tx>
            <c:strRef>
              <c:f>'Sheet1 (2)'!$X$26</c:f>
              <c:strCache>
                <c:ptCount val="1"/>
                <c:pt idx="0">
                  <c:v>9/25/2019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(2)'!$X$28:$X$38</c:f>
              <c:numCache>
                <c:formatCode>General</c:formatCode>
                <c:ptCount val="11"/>
                <c:pt idx="0">
                  <c:v>5.8200000000000002E-2</c:v>
                </c:pt>
                <c:pt idx="1">
                  <c:v>5.04E-2</c:v>
                </c:pt>
                <c:pt idx="2">
                  <c:v>4.4200000000000003E-2</c:v>
                </c:pt>
                <c:pt idx="3">
                  <c:v>4.2099999999999999E-2</c:v>
                </c:pt>
                <c:pt idx="4">
                  <c:v>4.1200000000000001E-2</c:v>
                </c:pt>
                <c:pt idx="5">
                  <c:v>3.6499999999999998E-2</c:v>
                </c:pt>
                <c:pt idx="6">
                  <c:v>0.03</c:v>
                </c:pt>
                <c:pt idx="7">
                  <c:v>2.7400000000000001E-2</c:v>
                </c:pt>
                <c:pt idx="8">
                  <c:v>1.9E-2</c:v>
                </c:pt>
                <c:pt idx="9">
                  <c:v>1.18E-2</c:v>
                </c:pt>
                <c:pt idx="10">
                  <c:v>9.5999999999999992E-3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FE-4066-813A-3B103DF052B0}"/>
            </c:ext>
          </c:extLst>
        </c:ser>
        <c:ser>
          <c:idx val="21"/>
          <c:order val="21"/>
          <c:tx>
            <c:strRef>
              <c:f>'Sheet1 (2)'!$Y$26</c:f>
              <c:strCache>
                <c:ptCount val="1"/>
                <c:pt idx="0">
                  <c:v>10/10/2019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(2)'!$Y$28:$Y$38</c:f>
              <c:numCache>
                <c:formatCode>General</c:formatCode>
                <c:ptCount val="11"/>
                <c:pt idx="0">
                  <c:v>5.2400000000000002E-2</c:v>
                </c:pt>
                <c:pt idx="1">
                  <c:v>3.2599999999999997E-2</c:v>
                </c:pt>
                <c:pt idx="2">
                  <c:v>2.98E-2</c:v>
                </c:pt>
                <c:pt idx="3">
                  <c:v>2.7400000000000001E-2</c:v>
                </c:pt>
                <c:pt idx="4">
                  <c:v>2.5399999999999999E-2</c:v>
                </c:pt>
                <c:pt idx="5">
                  <c:v>1.9599999999999999E-2</c:v>
                </c:pt>
                <c:pt idx="6">
                  <c:v>1.2200000000000001E-2</c:v>
                </c:pt>
                <c:pt idx="7">
                  <c:v>9.4999999999999998E-3</c:v>
                </c:pt>
                <c:pt idx="8">
                  <c:v>6.0000000000000001E-3</c:v>
                </c:pt>
                <c:pt idx="9">
                  <c:v>1E-4</c:v>
                </c:pt>
                <c:pt idx="10">
                  <c:v>1.6999999999999999E-3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BFE-4066-813A-3B103DF052B0}"/>
            </c:ext>
          </c:extLst>
        </c:ser>
        <c:ser>
          <c:idx val="22"/>
          <c:order val="22"/>
          <c:tx>
            <c:strRef>
              <c:f>'Sheet1 (2)'!$Z$26</c:f>
              <c:strCache>
                <c:ptCount val="1"/>
                <c:pt idx="0">
                  <c:v>11/1/2019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(2)'!$Z$28:$Z$38</c:f>
              <c:numCache>
                <c:formatCode>General</c:formatCode>
                <c:ptCount val="11"/>
                <c:pt idx="0">
                  <c:v>0.1462</c:v>
                </c:pt>
                <c:pt idx="1">
                  <c:v>2.81E-2</c:v>
                </c:pt>
                <c:pt idx="2">
                  <c:v>2.6599999999999999E-2</c:v>
                </c:pt>
                <c:pt idx="3">
                  <c:v>2.3E-2</c:v>
                </c:pt>
                <c:pt idx="4">
                  <c:v>2.1999999999999999E-2</c:v>
                </c:pt>
                <c:pt idx="5">
                  <c:v>1.6299999999999999E-2</c:v>
                </c:pt>
                <c:pt idx="6">
                  <c:v>1.03E-2</c:v>
                </c:pt>
                <c:pt idx="7">
                  <c:v>6.4000000000000003E-3</c:v>
                </c:pt>
                <c:pt idx="8">
                  <c:v>1.9E-3</c:v>
                </c:pt>
                <c:pt idx="9">
                  <c:v>3.0000000000000001E-3</c:v>
                </c:pt>
                <c:pt idx="10">
                  <c:v>4.0000000000000002E-4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BFE-4066-813A-3B103DF052B0}"/>
            </c:ext>
          </c:extLst>
        </c:ser>
        <c:ser>
          <c:idx val="23"/>
          <c:order val="23"/>
          <c:tx>
            <c:strRef>
              <c:f>'Sheet1 (2)'!$AA$26</c:f>
              <c:strCache>
                <c:ptCount val="1"/>
                <c:pt idx="0">
                  <c:v>11/21/2019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(2)'!$AA$28:$AA$38</c:f>
              <c:numCache>
                <c:formatCode>General</c:formatCode>
                <c:ptCount val="11"/>
                <c:pt idx="0">
                  <c:v>0.1404</c:v>
                </c:pt>
                <c:pt idx="1">
                  <c:v>3.49E-2</c:v>
                </c:pt>
                <c:pt idx="2">
                  <c:v>3.0499999999999999E-2</c:v>
                </c:pt>
                <c:pt idx="3">
                  <c:v>2.75E-2</c:v>
                </c:pt>
                <c:pt idx="4">
                  <c:v>2.47E-2</c:v>
                </c:pt>
                <c:pt idx="5">
                  <c:v>1.66E-2</c:v>
                </c:pt>
                <c:pt idx="6">
                  <c:v>8.9999999999999993E-3</c:v>
                </c:pt>
                <c:pt idx="7">
                  <c:v>7.3000000000000001E-3</c:v>
                </c:pt>
                <c:pt idx="8">
                  <c:v>3.2000000000000002E-3</c:v>
                </c:pt>
                <c:pt idx="9">
                  <c:v>1.1999999999999999E-3</c:v>
                </c:pt>
                <c:pt idx="10">
                  <c:v>1.9E-3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AC-4A6E-ABE0-EBDBCD75BA2B}"/>
            </c:ext>
          </c:extLst>
        </c:ser>
        <c:ser>
          <c:idx val="24"/>
          <c:order val="24"/>
          <c:tx>
            <c:strRef>
              <c:f>'Sheet1 (2)'!$AB$26</c:f>
              <c:strCache>
                <c:ptCount val="1"/>
                <c:pt idx="0">
                  <c:v>12/7/2019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(2)'!$AB$28:$AB$38</c:f>
              <c:numCache>
                <c:formatCode>General</c:formatCode>
                <c:ptCount val="11"/>
                <c:pt idx="0">
                  <c:v>0.1404</c:v>
                </c:pt>
                <c:pt idx="1">
                  <c:v>3.49E-2</c:v>
                </c:pt>
                <c:pt idx="2">
                  <c:v>3.0499999999999999E-2</c:v>
                </c:pt>
                <c:pt idx="3">
                  <c:v>2.75E-2</c:v>
                </c:pt>
                <c:pt idx="4">
                  <c:v>2.47E-2</c:v>
                </c:pt>
                <c:pt idx="5">
                  <c:v>1.66E-2</c:v>
                </c:pt>
                <c:pt idx="6">
                  <c:v>8.9999999999999993E-3</c:v>
                </c:pt>
                <c:pt idx="7">
                  <c:v>7.3000000000000001E-3</c:v>
                </c:pt>
                <c:pt idx="8">
                  <c:v>3.2000000000000002E-3</c:v>
                </c:pt>
                <c:pt idx="9">
                  <c:v>1.1999999999999999E-3</c:v>
                </c:pt>
                <c:pt idx="10">
                  <c:v>1.9E-3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AC-4A6E-ABE0-EBDBCD75BA2B}"/>
            </c:ext>
          </c:extLst>
        </c:ser>
        <c:ser>
          <c:idx val="25"/>
          <c:order val="25"/>
          <c:tx>
            <c:strRef>
              <c:f>'Sheet1 (2)'!$AC$26</c:f>
              <c:strCache>
                <c:ptCount val="1"/>
                <c:pt idx="0">
                  <c:v>12/18/2019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(2)'!$AC$28:$AC$38</c:f>
              <c:numCache>
                <c:formatCode>General</c:formatCode>
                <c:ptCount val="11"/>
                <c:pt idx="0">
                  <c:v>0.1404</c:v>
                </c:pt>
                <c:pt idx="1">
                  <c:v>6.83E-2</c:v>
                </c:pt>
                <c:pt idx="2">
                  <c:v>4.5600000000000002E-2</c:v>
                </c:pt>
                <c:pt idx="3">
                  <c:v>4.1599999999999998E-2</c:v>
                </c:pt>
                <c:pt idx="4">
                  <c:v>4.0899999999999999E-2</c:v>
                </c:pt>
                <c:pt idx="5">
                  <c:v>4.1599999999999998E-2</c:v>
                </c:pt>
                <c:pt idx="6">
                  <c:v>4.1500000000000002E-2</c:v>
                </c:pt>
                <c:pt idx="7">
                  <c:v>3.9699999999999999E-2</c:v>
                </c:pt>
                <c:pt idx="8">
                  <c:v>3.7600000000000001E-2</c:v>
                </c:pt>
                <c:pt idx="9">
                  <c:v>3.44E-2</c:v>
                </c:pt>
                <c:pt idx="10">
                  <c:v>2.0199999999999999E-2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7E-4595-B1CD-25718D2C1588}"/>
            </c:ext>
          </c:extLst>
        </c:ser>
        <c:ser>
          <c:idx val="26"/>
          <c:order val="26"/>
          <c:tx>
            <c:strRef>
              <c:f>'Sheet1 (2)'!$AD$26</c:f>
              <c:strCache>
                <c:ptCount val="1"/>
                <c:pt idx="0">
                  <c:v>1/9/2020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(2)'!$AD$28:$AD$38</c:f>
              <c:numCache>
                <c:formatCode>General</c:formatCode>
                <c:ptCount val="11"/>
                <c:pt idx="0">
                  <c:v>0.1404</c:v>
                </c:pt>
                <c:pt idx="1">
                  <c:v>5.7099999999999998E-2</c:v>
                </c:pt>
                <c:pt idx="2">
                  <c:v>3.3599999999999998E-2</c:v>
                </c:pt>
                <c:pt idx="3">
                  <c:v>3.0499999999999999E-2</c:v>
                </c:pt>
                <c:pt idx="4">
                  <c:v>0.03</c:v>
                </c:pt>
                <c:pt idx="5">
                  <c:v>3.1399999999999997E-2</c:v>
                </c:pt>
                <c:pt idx="6">
                  <c:v>3.2599999999999997E-2</c:v>
                </c:pt>
                <c:pt idx="7">
                  <c:v>3.1300000000000001E-2</c:v>
                </c:pt>
                <c:pt idx="8">
                  <c:v>0.03</c:v>
                </c:pt>
                <c:pt idx="9">
                  <c:v>2.8000000000000001E-2</c:v>
                </c:pt>
                <c:pt idx="10">
                  <c:v>1.37E-2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7E-4595-B1CD-25718D2C1588}"/>
            </c:ext>
          </c:extLst>
        </c:ser>
        <c:ser>
          <c:idx val="27"/>
          <c:order val="27"/>
          <c:tx>
            <c:strRef>
              <c:f>'Sheet1 (2)'!$AE$26</c:f>
              <c:strCache>
                <c:ptCount val="1"/>
                <c:pt idx="0">
                  <c:v>2/8/2020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(2)'!$AE$28:$AE$38</c:f>
              <c:numCache>
                <c:formatCode>General</c:formatCode>
                <c:ptCount val="11"/>
                <c:pt idx="0">
                  <c:v>0.1404</c:v>
                </c:pt>
                <c:pt idx="1">
                  <c:v>6.13E-2</c:v>
                </c:pt>
                <c:pt idx="2">
                  <c:v>3.7900000000000003E-2</c:v>
                </c:pt>
                <c:pt idx="3">
                  <c:v>3.3599999999999998E-2</c:v>
                </c:pt>
                <c:pt idx="4">
                  <c:v>3.3399999999999999E-2</c:v>
                </c:pt>
                <c:pt idx="5">
                  <c:v>3.5400000000000001E-2</c:v>
                </c:pt>
                <c:pt idx="6">
                  <c:v>3.6799999999999999E-2</c:v>
                </c:pt>
                <c:pt idx="7">
                  <c:v>3.5999999999999997E-2</c:v>
                </c:pt>
                <c:pt idx="8">
                  <c:v>3.5799999999999998E-2</c:v>
                </c:pt>
                <c:pt idx="9">
                  <c:v>3.49E-2</c:v>
                </c:pt>
                <c:pt idx="10">
                  <c:v>2.1499999999999998E-2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7E-4595-B1CD-25718D2C1588}"/>
            </c:ext>
          </c:extLst>
        </c:ser>
        <c:ser>
          <c:idx val="28"/>
          <c:order val="28"/>
          <c:tx>
            <c:strRef>
              <c:f>'Sheet1 (2)'!$AF$26</c:f>
              <c:strCache>
                <c:ptCount val="1"/>
                <c:pt idx="0">
                  <c:v>3/12/2020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(2)'!$AF$28:$AF$38</c:f>
              <c:numCache>
                <c:formatCode>General</c:formatCode>
                <c:ptCount val="11"/>
                <c:pt idx="0">
                  <c:v>0.12959999999999999</c:v>
                </c:pt>
                <c:pt idx="1">
                  <c:v>3.9E-2</c:v>
                </c:pt>
                <c:pt idx="2">
                  <c:v>3.1800000000000002E-2</c:v>
                </c:pt>
                <c:pt idx="3">
                  <c:v>2.4799999999999999E-2</c:v>
                </c:pt>
                <c:pt idx="4">
                  <c:v>2.2200000000000001E-2</c:v>
                </c:pt>
                <c:pt idx="5">
                  <c:v>2.0299999999999999E-2</c:v>
                </c:pt>
                <c:pt idx="6">
                  <c:v>1.06E-2</c:v>
                </c:pt>
                <c:pt idx="7">
                  <c:v>7.3000000000000001E-3</c:v>
                </c:pt>
                <c:pt idx="8">
                  <c:v>4.7999999999999996E-3</c:v>
                </c:pt>
                <c:pt idx="9">
                  <c:v>1.4999999999999999E-2</c:v>
                </c:pt>
                <c:pt idx="10">
                  <c:v>5.0000000000000001E-3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B4-4663-97ED-B36793EDEDB9}"/>
            </c:ext>
          </c:extLst>
        </c:ser>
        <c:ser>
          <c:idx val="29"/>
          <c:order val="29"/>
          <c:tx>
            <c:strRef>
              <c:f>'Sheet1 (2)'!$AG$26</c:f>
              <c:strCache>
                <c:ptCount val="1"/>
                <c:pt idx="0">
                  <c:v>4/3/2020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(2)'!$AG$28:$AG$38</c:f>
              <c:numCache>
                <c:formatCode>General</c:formatCode>
                <c:ptCount val="11"/>
                <c:pt idx="0">
                  <c:v>0.13800000000000001</c:v>
                </c:pt>
                <c:pt idx="1">
                  <c:v>5.3499999999999999E-2</c:v>
                </c:pt>
                <c:pt idx="2">
                  <c:v>4.3299999999999998E-2</c:v>
                </c:pt>
                <c:pt idx="3">
                  <c:v>3.5799999999999998E-2</c:v>
                </c:pt>
                <c:pt idx="4">
                  <c:v>3.2199999999999999E-2</c:v>
                </c:pt>
                <c:pt idx="5">
                  <c:v>3.04E-2</c:v>
                </c:pt>
                <c:pt idx="6">
                  <c:v>1.9E-2</c:v>
                </c:pt>
                <c:pt idx="7">
                  <c:v>1.4999999999999999E-2</c:v>
                </c:pt>
                <c:pt idx="8">
                  <c:v>5.9999999999999995E-4</c:v>
                </c:pt>
                <c:pt idx="9">
                  <c:v>1.12E-2</c:v>
                </c:pt>
                <c:pt idx="10">
                  <c:v>8.0000000000000002E-3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B4-4663-97ED-B36793EDEDB9}"/>
            </c:ext>
          </c:extLst>
        </c:ser>
        <c:ser>
          <c:idx val="30"/>
          <c:order val="30"/>
          <c:tx>
            <c:strRef>
              <c:f>'Sheet1 (2)'!$AH$26</c:f>
              <c:strCache>
                <c:ptCount val="1"/>
                <c:pt idx="0">
                  <c:v>5/2/2020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(2)'!$AH$28:$AH$38</c:f>
              <c:numCache>
                <c:formatCode>General</c:formatCode>
                <c:ptCount val="11"/>
                <c:pt idx="0">
                  <c:v>0.13150000000000001</c:v>
                </c:pt>
                <c:pt idx="1">
                  <c:v>5.4600000000000003E-2</c:v>
                </c:pt>
                <c:pt idx="2">
                  <c:v>4.3999999999999997E-2</c:v>
                </c:pt>
                <c:pt idx="3">
                  <c:v>3.6600000000000001E-2</c:v>
                </c:pt>
                <c:pt idx="4">
                  <c:v>3.2899999999999999E-2</c:v>
                </c:pt>
                <c:pt idx="5">
                  <c:v>3.2800000000000003E-2</c:v>
                </c:pt>
                <c:pt idx="6">
                  <c:v>2.0799999999999999E-2</c:v>
                </c:pt>
                <c:pt idx="7">
                  <c:v>1.6400000000000001E-2</c:v>
                </c:pt>
                <c:pt idx="8">
                  <c:v>2E-3</c:v>
                </c:pt>
                <c:pt idx="9">
                  <c:v>1.06E-2</c:v>
                </c:pt>
                <c:pt idx="10">
                  <c:v>7.1999999999999998E-3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A4-4AC6-9472-DD0A50040338}"/>
            </c:ext>
          </c:extLst>
        </c:ser>
        <c:ser>
          <c:idx val="31"/>
          <c:order val="31"/>
          <c:tx>
            <c:strRef>
              <c:f>'Sheet1 (2)'!$AI$26</c:f>
              <c:strCache>
                <c:ptCount val="1"/>
                <c:pt idx="0">
                  <c:v>5/31/2020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(2)'!$AI$28:$AI$38</c:f>
              <c:numCache>
                <c:formatCode>General</c:formatCode>
                <c:ptCount val="11"/>
                <c:pt idx="0">
                  <c:v>0.13200000000000001</c:v>
                </c:pt>
                <c:pt idx="1">
                  <c:v>7.0300000000000001E-2</c:v>
                </c:pt>
                <c:pt idx="2">
                  <c:v>5.8200000000000002E-2</c:v>
                </c:pt>
                <c:pt idx="3">
                  <c:v>4.8000000000000001E-2</c:v>
                </c:pt>
                <c:pt idx="4">
                  <c:v>4.3099999999999999E-2</c:v>
                </c:pt>
                <c:pt idx="5">
                  <c:v>4.3799999999999999E-2</c:v>
                </c:pt>
                <c:pt idx="6">
                  <c:v>2.9499999999999998E-2</c:v>
                </c:pt>
                <c:pt idx="7">
                  <c:v>2.4400000000000002E-2</c:v>
                </c:pt>
                <c:pt idx="8">
                  <c:v>6.0000000000000001E-3</c:v>
                </c:pt>
                <c:pt idx="9">
                  <c:v>7.3000000000000001E-3</c:v>
                </c:pt>
                <c:pt idx="10">
                  <c:v>5.1999999999999998E-3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BA4-4AC6-9472-DD0A50040338}"/>
            </c:ext>
          </c:extLst>
        </c:ser>
        <c:ser>
          <c:idx val="32"/>
          <c:order val="32"/>
          <c:tx>
            <c:strRef>
              <c:f>'Sheet1 (2)'!$AJ$26</c:f>
              <c:strCache>
                <c:ptCount val="1"/>
                <c:pt idx="0">
                  <c:v>7/12/2020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(2)'!$AJ$28:$AJ$38</c:f>
              <c:numCache>
                <c:formatCode>General</c:formatCode>
                <c:ptCount val="11"/>
                <c:pt idx="0">
                  <c:v>0.15040000000000001</c:v>
                </c:pt>
                <c:pt idx="1">
                  <c:v>7.8700000000000006E-2</c:v>
                </c:pt>
                <c:pt idx="2">
                  <c:v>6.7799999999999999E-2</c:v>
                </c:pt>
                <c:pt idx="3">
                  <c:v>5.8299999999999998E-2</c:v>
                </c:pt>
                <c:pt idx="4">
                  <c:v>5.5800000000000002E-2</c:v>
                </c:pt>
                <c:pt idx="5">
                  <c:v>5.5100000000000003E-2</c:v>
                </c:pt>
                <c:pt idx="6">
                  <c:v>3.95E-2</c:v>
                </c:pt>
                <c:pt idx="7">
                  <c:v>3.2899999999999999E-2</c:v>
                </c:pt>
                <c:pt idx="8">
                  <c:v>1.32E-2</c:v>
                </c:pt>
                <c:pt idx="9">
                  <c:v>2.8999999999999998E-3</c:v>
                </c:pt>
                <c:pt idx="10">
                  <c:v>2.8999999999999998E-3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BA4-4AC6-9472-DD0A50040338}"/>
            </c:ext>
          </c:extLst>
        </c:ser>
        <c:ser>
          <c:idx val="33"/>
          <c:order val="33"/>
          <c:tx>
            <c:strRef>
              <c:f>'Sheet1 (2)'!$AK$26</c:f>
              <c:strCache>
                <c:ptCount val="1"/>
                <c:pt idx="0">
                  <c:v>9/4/2020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(2)'!$AK$28:$AK$38</c:f>
              <c:numCache>
                <c:formatCode>General</c:formatCode>
                <c:ptCount val="11"/>
                <c:pt idx="0">
                  <c:v>0.17080000000000001</c:v>
                </c:pt>
                <c:pt idx="1">
                  <c:v>9.1899999999999996E-2</c:v>
                </c:pt>
                <c:pt idx="2">
                  <c:v>7.8200000000000006E-2</c:v>
                </c:pt>
                <c:pt idx="3">
                  <c:v>6.6400000000000001E-2</c:v>
                </c:pt>
                <c:pt idx="4">
                  <c:v>6.0400000000000002E-2</c:v>
                </c:pt>
                <c:pt idx="5">
                  <c:v>6.2E-2</c:v>
                </c:pt>
                <c:pt idx="6">
                  <c:v>4.4400000000000002E-2</c:v>
                </c:pt>
                <c:pt idx="7">
                  <c:v>3.5999999999999997E-2</c:v>
                </c:pt>
                <c:pt idx="8">
                  <c:v>1.2200000000000001E-2</c:v>
                </c:pt>
                <c:pt idx="9">
                  <c:v>5.4999999999999997E-3</c:v>
                </c:pt>
                <c:pt idx="10">
                  <c:v>6.4000000000000003E-3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9D-4176-A11B-7EC7D4A7099A}"/>
            </c:ext>
          </c:extLst>
        </c:ser>
        <c:ser>
          <c:idx val="34"/>
          <c:order val="34"/>
          <c:tx>
            <c:strRef>
              <c:f>'Sheet1 (2)'!$AL$26</c:f>
              <c:strCache>
                <c:ptCount val="1"/>
                <c:pt idx="0">
                  <c:v>11/3/2020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(2)'!$AL$28:$AL$38</c:f>
              <c:numCache>
                <c:formatCode>General</c:formatCode>
                <c:ptCount val="11"/>
                <c:pt idx="0">
                  <c:v>0.59330000000000005</c:v>
                </c:pt>
                <c:pt idx="1">
                  <c:v>0.35160000000000002</c:v>
                </c:pt>
                <c:pt idx="2">
                  <c:v>0.1474</c:v>
                </c:pt>
                <c:pt idx="3">
                  <c:v>6.9599999999999995E-2</c:v>
                </c:pt>
                <c:pt idx="4">
                  <c:v>0.13370000000000001</c:v>
                </c:pt>
                <c:pt idx="5">
                  <c:v>0.13070000000000001</c:v>
                </c:pt>
                <c:pt idx="6">
                  <c:v>6.6799999999999998E-2</c:v>
                </c:pt>
                <c:pt idx="7">
                  <c:v>1.7000000000000001E-2</c:v>
                </c:pt>
                <c:pt idx="8">
                  <c:v>6.4299999999999996E-2</c:v>
                </c:pt>
                <c:pt idx="9">
                  <c:v>7.7600000000000002E-2</c:v>
                </c:pt>
                <c:pt idx="10">
                  <c:v>2.1700000000000001E-2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9D-4176-A11B-7EC7D4A7099A}"/>
            </c:ext>
          </c:extLst>
        </c:ser>
        <c:ser>
          <c:idx val="35"/>
          <c:order val="35"/>
          <c:tx>
            <c:strRef>
              <c:f>'Sheet1 (2)'!$AM$26</c:f>
              <c:strCache>
                <c:ptCount val="1"/>
                <c:pt idx="0">
                  <c:v>2/4/2021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(2)'!$AM$28:$AM$38</c:f>
              <c:numCache>
                <c:formatCode>General</c:formatCode>
                <c:ptCount val="11"/>
                <c:pt idx="0">
                  <c:v>0.57830000000000004</c:v>
                </c:pt>
                <c:pt idx="1">
                  <c:v>0.3493</c:v>
                </c:pt>
                <c:pt idx="2">
                  <c:v>0.15290000000000001</c:v>
                </c:pt>
                <c:pt idx="3">
                  <c:v>7.4800000000000005E-2</c:v>
                </c:pt>
                <c:pt idx="4">
                  <c:v>0.13519999999999999</c:v>
                </c:pt>
                <c:pt idx="5">
                  <c:v>0.1406</c:v>
                </c:pt>
                <c:pt idx="6">
                  <c:v>8.7400000000000005E-2</c:v>
                </c:pt>
                <c:pt idx="7">
                  <c:v>1.1599999999999999E-2</c:v>
                </c:pt>
                <c:pt idx="8">
                  <c:v>2.9399999999999999E-2</c:v>
                </c:pt>
                <c:pt idx="9">
                  <c:v>5.2299999999999999E-2</c:v>
                </c:pt>
                <c:pt idx="10">
                  <c:v>1.1299999999999999E-2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9D-4176-A11B-7EC7D4A7099A}"/>
            </c:ext>
          </c:extLst>
        </c:ser>
        <c:ser>
          <c:idx val="36"/>
          <c:order val="36"/>
          <c:tx>
            <c:strRef>
              <c:f>'Sheet1 (2)'!$AN$26</c:f>
              <c:strCache>
                <c:ptCount val="1"/>
                <c:pt idx="0">
                  <c:v>6/8/2021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(2)'!$AN$28:$AN$38</c:f>
              <c:numCache>
                <c:formatCode>General</c:formatCode>
                <c:ptCount val="11"/>
                <c:pt idx="0">
                  <c:v>0.58069999999999999</c:v>
                </c:pt>
                <c:pt idx="1">
                  <c:v>0.34239999999999998</c:v>
                </c:pt>
                <c:pt idx="2">
                  <c:v>0.1414</c:v>
                </c:pt>
                <c:pt idx="3">
                  <c:v>6.2E-2</c:v>
                </c:pt>
                <c:pt idx="4">
                  <c:v>0.12529999999999999</c:v>
                </c:pt>
                <c:pt idx="5">
                  <c:v>0.12839999999999999</c:v>
                </c:pt>
                <c:pt idx="6">
                  <c:v>6.7599999999999993E-2</c:v>
                </c:pt>
                <c:pt idx="7">
                  <c:v>6.1999999999999998E-3</c:v>
                </c:pt>
                <c:pt idx="8">
                  <c:v>4.5999999999999999E-2</c:v>
                </c:pt>
                <c:pt idx="9">
                  <c:v>6.5000000000000002E-2</c:v>
                </c:pt>
                <c:pt idx="10">
                  <c:v>1.5699999999999999E-2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7D-469B-8C46-5DDE38654A30}"/>
            </c:ext>
          </c:extLst>
        </c:ser>
        <c:ser>
          <c:idx val="37"/>
          <c:order val="37"/>
          <c:tx>
            <c:strRef>
              <c:f>'Sheet1 (2)'!$AO$26</c:f>
              <c:strCache>
                <c:ptCount val="1"/>
                <c:pt idx="0">
                  <c:v>2/21/2022</c:v>
                </c:pt>
              </c:strCache>
            </c:strRef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'Sheet1 (2)'!$AO$28:$AO$38</c:f>
              <c:numCache>
                <c:formatCode>General</c:formatCode>
                <c:ptCount val="11"/>
                <c:pt idx="0">
                  <c:v>0.70730000000000004</c:v>
                </c:pt>
                <c:pt idx="1">
                  <c:v>0.47270000000000001</c:v>
                </c:pt>
                <c:pt idx="2">
                  <c:v>0.27360000000000001</c:v>
                </c:pt>
                <c:pt idx="3">
                  <c:v>0.20050000000000001</c:v>
                </c:pt>
                <c:pt idx="4">
                  <c:v>0.26819999999999999</c:v>
                </c:pt>
                <c:pt idx="5">
                  <c:v>0.27</c:v>
                </c:pt>
                <c:pt idx="6">
                  <c:v>0.21110000000000001</c:v>
                </c:pt>
                <c:pt idx="7">
                  <c:v>0.1308</c:v>
                </c:pt>
                <c:pt idx="8">
                  <c:v>8.9899999999999994E-2</c:v>
                </c:pt>
                <c:pt idx="9">
                  <c:v>7.3300000000000004E-2</c:v>
                </c:pt>
                <c:pt idx="10">
                  <c:v>9.1899999999999996E-2</c:v>
                </c:pt>
              </c:numCache>
            </c:numRef>
          </c:xVal>
          <c:yVal>
            <c:numRef>
              <c:f>'Sheet1 (2)'!$C$27:$C$38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9</c:v>
                </c:pt>
                <c:pt idx="6">
                  <c:v>11</c:v>
                </c:pt>
                <c:pt idx="7">
                  <c:v>13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4D-4095-B257-B0C295837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704056"/>
        <c:axId val="624697168"/>
      </c:scatterChart>
      <c:valAx>
        <c:axId val="624704056"/>
        <c:scaling>
          <c:orientation val="minMax"/>
          <c:max val="1"/>
          <c:min val="-1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Displacement (in)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24697168"/>
        <c:crosses val="autoZero"/>
        <c:crossBetween val="midCat"/>
      </c:valAx>
      <c:valAx>
        <c:axId val="624697168"/>
        <c:scaling>
          <c:orientation val="maxMin"/>
          <c:max val="3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Depth (ft)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24704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 algn="ctr" rtl="0">
              <a:defRPr sz="1400"/>
            </a:pPr>
            <a:r>
              <a:rPr lang="en-US" sz="1400"/>
              <a:t>Metro Center Slope-SI 2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'Sheet1 (2)'!$G$3</c:f>
              <c:strCache>
                <c:ptCount val="1"/>
                <c:pt idx="0">
                  <c:v>A</c:v>
                </c:pt>
              </c:strCache>
            </c:strRef>
          </c:tx>
          <c:marker>
            <c:symbol val="none"/>
          </c:marker>
          <c:cat>
            <c:numRef>
              <c:f>'Sheet1 (2)'!$D$5:$BC$5</c:f>
              <c:numCache>
                <c:formatCode>m/d/yyyy</c:formatCode>
                <c:ptCount val="52"/>
                <c:pt idx="0">
                  <c:v>43379</c:v>
                </c:pt>
                <c:pt idx="1">
                  <c:v>43404</c:v>
                </c:pt>
                <c:pt idx="2">
                  <c:v>43417</c:v>
                </c:pt>
                <c:pt idx="3">
                  <c:v>43439</c:v>
                </c:pt>
                <c:pt idx="4">
                  <c:v>43452</c:v>
                </c:pt>
                <c:pt idx="5">
                  <c:v>43470</c:v>
                </c:pt>
                <c:pt idx="6">
                  <c:v>43486</c:v>
                </c:pt>
                <c:pt idx="7">
                  <c:v>43502</c:v>
                </c:pt>
                <c:pt idx="8">
                  <c:v>43521</c:v>
                </c:pt>
                <c:pt idx="9">
                  <c:v>43537</c:v>
                </c:pt>
                <c:pt idx="10">
                  <c:v>43556</c:v>
                </c:pt>
                <c:pt idx="11">
                  <c:v>43565</c:v>
                </c:pt>
                <c:pt idx="12">
                  <c:v>43579</c:v>
                </c:pt>
                <c:pt idx="13">
                  <c:v>43600</c:v>
                </c:pt>
                <c:pt idx="14">
                  <c:v>43614</c:v>
                </c:pt>
                <c:pt idx="15">
                  <c:v>43628</c:v>
                </c:pt>
                <c:pt idx="16">
                  <c:v>43654</c:v>
                </c:pt>
                <c:pt idx="17">
                  <c:v>43670</c:v>
                </c:pt>
                <c:pt idx="18">
                  <c:v>43693</c:v>
                </c:pt>
                <c:pt idx="19">
                  <c:v>43707</c:v>
                </c:pt>
                <c:pt idx="20">
                  <c:v>43733</c:v>
                </c:pt>
                <c:pt idx="21">
                  <c:v>43748</c:v>
                </c:pt>
                <c:pt idx="22">
                  <c:v>43770</c:v>
                </c:pt>
                <c:pt idx="23">
                  <c:v>43790</c:v>
                </c:pt>
                <c:pt idx="24">
                  <c:v>43806</c:v>
                </c:pt>
                <c:pt idx="25">
                  <c:v>43817</c:v>
                </c:pt>
                <c:pt idx="26">
                  <c:v>43839</c:v>
                </c:pt>
                <c:pt idx="27">
                  <c:v>43869</c:v>
                </c:pt>
                <c:pt idx="28">
                  <c:v>43902</c:v>
                </c:pt>
                <c:pt idx="29">
                  <c:v>43924</c:v>
                </c:pt>
                <c:pt idx="30">
                  <c:v>43953</c:v>
                </c:pt>
                <c:pt idx="31">
                  <c:v>43982</c:v>
                </c:pt>
                <c:pt idx="32">
                  <c:v>44024</c:v>
                </c:pt>
                <c:pt idx="33">
                  <c:v>44078</c:v>
                </c:pt>
                <c:pt idx="34">
                  <c:v>44138</c:v>
                </c:pt>
                <c:pt idx="35">
                  <c:v>44231</c:v>
                </c:pt>
                <c:pt idx="36">
                  <c:v>44355</c:v>
                </c:pt>
                <c:pt idx="37">
                  <c:v>44613</c:v>
                </c:pt>
              </c:numCache>
            </c:numRef>
          </c:cat>
          <c:val>
            <c:numRef>
              <c:f>'Sheet1 (2)'!$D$7:$BQ$7</c:f>
              <c:numCache>
                <c:formatCode>General</c:formatCode>
                <c:ptCount val="66"/>
                <c:pt idx="0">
                  <c:v>0</c:v>
                </c:pt>
                <c:pt idx="1">
                  <c:v>7.3000000000000001E-3</c:v>
                </c:pt>
                <c:pt idx="2">
                  <c:v>1E-4</c:v>
                </c:pt>
                <c:pt idx="3">
                  <c:v>1.0999999999999999E-2</c:v>
                </c:pt>
                <c:pt idx="4">
                  <c:v>5.8999999999999999E-3</c:v>
                </c:pt>
                <c:pt idx="5">
                  <c:v>3.2000000000000002E-3</c:v>
                </c:pt>
                <c:pt idx="6">
                  <c:v>8.8000000000000005E-3</c:v>
                </c:pt>
                <c:pt idx="7">
                  <c:v>1.04E-2</c:v>
                </c:pt>
                <c:pt idx="8">
                  <c:v>0.01</c:v>
                </c:pt>
                <c:pt idx="9">
                  <c:v>1.21E-2</c:v>
                </c:pt>
                <c:pt idx="10">
                  <c:v>4.8999999999999998E-3</c:v>
                </c:pt>
                <c:pt idx="11">
                  <c:v>1.21E-2</c:v>
                </c:pt>
                <c:pt idx="12">
                  <c:v>9.1000000000000004E-3</c:v>
                </c:pt>
                <c:pt idx="13">
                  <c:v>1.04E-2</c:v>
                </c:pt>
                <c:pt idx="14">
                  <c:v>1.1900000000000001E-2</c:v>
                </c:pt>
                <c:pt idx="15">
                  <c:v>2.18E-2</c:v>
                </c:pt>
                <c:pt idx="16">
                  <c:v>3.0999999999999999E-3</c:v>
                </c:pt>
                <c:pt idx="17">
                  <c:v>2.2100000000000002E-2</c:v>
                </c:pt>
                <c:pt idx="18">
                  <c:v>2.3900000000000001E-2</c:v>
                </c:pt>
                <c:pt idx="19">
                  <c:v>3.8399999999999997E-2</c:v>
                </c:pt>
                <c:pt idx="20">
                  <c:v>1.6999999999999999E-3</c:v>
                </c:pt>
                <c:pt idx="21">
                  <c:v>6.7999999999999996E-3</c:v>
                </c:pt>
                <c:pt idx="22">
                  <c:v>4.5199999999999997E-2</c:v>
                </c:pt>
                <c:pt idx="23">
                  <c:v>1.2800000000000001E-2</c:v>
                </c:pt>
                <c:pt idx="24">
                  <c:v>1.2800000000000001E-2</c:v>
                </c:pt>
                <c:pt idx="25">
                  <c:v>1.2800000000000001E-2</c:v>
                </c:pt>
                <c:pt idx="26">
                  <c:v>1.2800000000000001E-2</c:v>
                </c:pt>
                <c:pt idx="27">
                  <c:v>1.2800000000000001E-2</c:v>
                </c:pt>
                <c:pt idx="28">
                  <c:v>1.7399999999999999E-2</c:v>
                </c:pt>
                <c:pt idx="29">
                  <c:v>1.03E-2</c:v>
                </c:pt>
                <c:pt idx="30">
                  <c:v>8.2000000000000007E-3</c:v>
                </c:pt>
                <c:pt idx="31">
                  <c:v>1.46E-2</c:v>
                </c:pt>
                <c:pt idx="32">
                  <c:v>1.03E-2</c:v>
                </c:pt>
                <c:pt idx="33">
                  <c:v>4.6800000000000001E-2</c:v>
                </c:pt>
                <c:pt idx="34">
                  <c:v>0.62880000000000003</c:v>
                </c:pt>
                <c:pt idx="35">
                  <c:v>0.59809999999999997</c:v>
                </c:pt>
                <c:pt idx="36">
                  <c:v>0.62839999999999996</c:v>
                </c:pt>
                <c:pt idx="37">
                  <c:v>0.73839999999999995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CA-46AE-BD9C-1D55A3E0C090}"/>
            </c:ext>
          </c:extLst>
        </c:ser>
        <c:ser>
          <c:idx val="0"/>
          <c:order val="1"/>
          <c:tx>
            <c:strRef>
              <c:f>'Sheet1 (2)'!$G$24</c:f>
              <c:strCache>
                <c:ptCount val="1"/>
                <c:pt idx="0">
                  <c:v>B</c:v>
                </c:pt>
              </c:strCache>
            </c:strRef>
          </c:tx>
          <c:marker>
            <c:symbol val="none"/>
          </c:marker>
          <c:cat>
            <c:numRef>
              <c:f>'Sheet1 (2)'!$D$5:$BC$5</c:f>
              <c:numCache>
                <c:formatCode>m/d/yyyy</c:formatCode>
                <c:ptCount val="52"/>
                <c:pt idx="0">
                  <c:v>43379</c:v>
                </c:pt>
                <c:pt idx="1">
                  <c:v>43404</c:v>
                </c:pt>
                <c:pt idx="2">
                  <c:v>43417</c:v>
                </c:pt>
                <c:pt idx="3">
                  <c:v>43439</c:v>
                </c:pt>
                <c:pt idx="4">
                  <c:v>43452</c:v>
                </c:pt>
                <c:pt idx="5">
                  <c:v>43470</c:v>
                </c:pt>
                <c:pt idx="6">
                  <c:v>43486</c:v>
                </c:pt>
                <c:pt idx="7">
                  <c:v>43502</c:v>
                </c:pt>
                <c:pt idx="8">
                  <c:v>43521</c:v>
                </c:pt>
                <c:pt idx="9">
                  <c:v>43537</c:v>
                </c:pt>
                <c:pt idx="10">
                  <c:v>43556</c:v>
                </c:pt>
                <c:pt idx="11">
                  <c:v>43565</c:v>
                </c:pt>
                <c:pt idx="12">
                  <c:v>43579</c:v>
                </c:pt>
                <c:pt idx="13">
                  <c:v>43600</c:v>
                </c:pt>
                <c:pt idx="14">
                  <c:v>43614</c:v>
                </c:pt>
                <c:pt idx="15">
                  <c:v>43628</c:v>
                </c:pt>
                <c:pt idx="16">
                  <c:v>43654</c:v>
                </c:pt>
                <c:pt idx="17">
                  <c:v>43670</c:v>
                </c:pt>
                <c:pt idx="18">
                  <c:v>43693</c:v>
                </c:pt>
                <c:pt idx="19">
                  <c:v>43707</c:v>
                </c:pt>
                <c:pt idx="20">
                  <c:v>43733</c:v>
                </c:pt>
                <c:pt idx="21">
                  <c:v>43748</c:v>
                </c:pt>
                <c:pt idx="22">
                  <c:v>43770</c:v>
                </c:pt>
                <c:pt idx="23">
                  <c:v>43790</c:v>
                </c:pt>
                <c:pt idx="24">
                  <c:v>43806</c:v>
                </c:pt>
                <c:pt idx="25">
                  <c:v>43817</c:v>
                </c:pt>
                <c:pt idx="26">
                  <c:v>43839</c:v>
                </c:pt>
                <c:pt idx="27">
                  <c:v>43869</c:v>
                </c:pt>
                <c:pt idx="28">
                  <c:v>43902</c:v>
                </c:pt>
                <c:pt idx="29">
                  <c:v>43924</c:v>
                </c:pt>
                <c:pt idx="30">
                  <c:v>43953</c:v>
                </c:pt>
                <c:pt idx="31">
                  <c:v>43982</c:v>
                </c:pt>
                <c:pt idx="32">
                  <c:v>44024</c:v>
                </c:pt>
                <c:pt idx="33">
                  <c:v>44078</c:v>
                </c:pt>
                <c:pt idx="34">
                  <c:v>44138</c:v>
                </c:pt>
                <c:pt idx="35">
                  <c:v>44231</c:v>
                </c:pt>
                <c:pt idx="36">
                  <c:v>44355</c:v>
                </c:pt>
                <c:pt idx="37">
                  <c:v>44613</c:v>
                </c:pt>
              </c:numCache>
            </c:numRef>
          </c:cat>
          <c:val>
            <c:numRef>
              <c:f>'Sheet1 (2)'!$D$28:$CC$28</c:f>
              <c:numCache>
                <c:formatCode>General</c:formatCode>
                <c:ptCount val="78"/>
                <c:pt idx="0">
                  <c:v>0</c:v>
                </c:pt>
                <c:pt idx="1">
                  <c:v>1.8E-3</c:v>
                </c:pt>
                <c:pt idx="2">
                  <c:v>1.52E-2</c:v>
                </c:pt>
                <c:pt idx="3">
                  <c:v>1.21E-2</c:v>
                </c:pt>
                <c:pt idx="4">
                  <c:v>9.4999999999999998E-3</c:v>
                </c:pt>
                <c:pt idx="5">
                  <c:v>2.8E-3</c:v>
                </c:pt>
                <c:pt idx="6">
                  <c:v>9.7999999999999997E-3</c:v>
                </c:pt>
                <c:pt idx="7">
                  <c:v>4.1999999999999997E-3</c:v>
                </c:pt>
                <c:pt idx="8">
                  <c:v>3.5000000000000001E-3</c:v>
                </c:pt>
                <c:pt idx="9">
                  <c:v>5.9999999999999995E-4</c:v>
                </c:pt>
                <c:pt idx="10">
                  <c:v>1E-4</c:v>
                </c:pt>
                <c:pt idx="11">
                  <c:v>1.2E-2</c:v>
                </c:pt>
                <c:pt idx="12">
                  <c:v>1.3299999999999999E-2</c:v>
                </c:pt>
                <c:pt idx="13">
                  <c:v>1.8100000000000002E-2</c:v>
                </c:pt>
                <c:pt idx="14">
                  <c:v>3.4299999999999997E-2</c:v>
                </c:pt>
                <c:pt idx="15">
                  <c:v>3.6600000000000001E-2</c:v>
                </c:pt>
                <c:pt idx="16">
                  <c:v>2.93E-2</c:v>
                </c:pt>
                <c:pt idx="17">
                  <c:v>3.9399999999999998E-2</c:v>
                </c:pt>
                <c:pt idx="18">
                  <c:v>3.1800000000000002E-2</c:v>
                </c:pt>
                <c:pt idx="19">
                  <c:v>6.4399999999999999E-2</c:v>
                </c:pt>
                <c:pt idx="20">
                  <c:v>5.8200000000000002E-2</c:v>
                </c:pt>
                <c:pt idx="21">
                  <c:v>5.2400000000000002E-2</c:v>
                </c:pt>
                <c:pt idx="22">
                  <c:v>0.1462</c:v>
                </c:pt>
                <c:pt idx="23">
                  <c:v>0.1404</c:v>
                </c:pt>
                <c:pt idx="24">
                  <c:v>0.1404</c:v>
                </c:pt>
                <c:pt idx="25">
                  <c:v>0.1404</c:v>
                </c:pt>
                <c:pt idx="26">
                  <c:v>0.1404</c:v>
                </c:pt>
                <c:pt idx="27">
                  <c:v>0.1404</c:v>
                </c:pt>
                <c:pt idx="28">
                  <c:v>0.12959999999999999</c:v>
                </c:pt>
                <c:pt idx="29">
                  <c:v>0.13800000000000001</c:v>
                </c:pt>
                <c:pt idx="30">
                  <c:v>0.13150000000000001</c:v>
                </c:pt>
                <c:pt idx="31">
                  <c:v>0.13200000000000001</c:v>
                </c:pt>
                <c:pt idx="32">
                  <c:v>0.15040000000000001</c:v>
                </c:pt>
                <c:pt idx="33">
                  <c:v>0.17080000000000001</c:v>
                </c:pt>
                <c:pt idx="34">
                  <c:v>0.59330000000000005</c:v>
                </c:pt>
                <c:pt idx="35">
                  <c:v>0.57830000000000004</c:v>
                </c:pt>
                <c:pt idx="36">
                  <c:v>0.58069999999999999</c:v>
                </c:pt>
                <c:pt idx="37">
                  <c:v>0.70730000000000004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CA-46AE-BD9C-1D55A3E0C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0871928"/>
        <c:axId val="690871272"/>
      </c:lineChart>
      <c:dateAx>
        <c:axId val="690871928"/>
        <c:scaling>
          <c:orientation val="minMax"/>
          <c:max val="44635"/>
        </c:scaling>
        <c:delete val="0"/>
        <c:axPos val="b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Time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m/d/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2700000"/>
          <a:lstStyle/>
          <a:p>
            <a:pPr>
              <a:defRPr sz="1050"/>
            </a:pPr>
            <a:endParaRPr lang="en-US"/>
          </a:p>
        </c:txPr>
        <c:crossAx val="690871272"/>
        <c:crosses val="autoZero"/>
        <c:auto val="1"/>
        <c:lblOffset val="100"/>
        <c:baseTimeUnit val="days"/>
      </c:dateAx>
      <c:valAx>
        <c:axId val="690871272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Displacement (in)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690871928"/>
        <c:crosses val="autoZero"/>
        <c:crossBetween val="between"/>
      </c:valAx>
      <c:spPr>
        <a:noFill/>
        <a:ln>
          <a:noFill/>
        </a:ln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200" b="0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256613</xdr:colOff>
      <xdr:row>75</xdr:row>
      <xdr:rowOff>44840</xdr:rowOff>
    </xdr:from>
    <xdr:to>
      <xdr:col>15</xdr:col>
      <xdr:colOff>100852</xdr:colOff>
      <xdr:row>98</xdr:row>
      <xdr:rowOff>156881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93509-C71A-42A7-B0F1-691DA23D8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550770</xdr:colOff>
      <xdr:row>104</xdr:row>
      <xdr:rowOff>71735</xdr:rowOff>
    </xdr:from>
    <xdr:to>
      <xdr:col>15</xdr:col>
      <xdr:colOff>268941</xdr:colOff>
      <xdr:row>128</xdr:row>
      <xdr:rowOff>78440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50CEFE3-47D5-4089-9D68-FC7C0FA29C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75</xdr:row>
      <xdr:rowOff>67253</xdr:rowOff>
    </xdr:from>
    <xdr:to>
      <xdr:col>24</xdr:col>
      <xdr:colOff>414617</xdr:colOff>
      <xdr:row>91</xdr:row>
      <xdr:rowOff>123265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A6EAF9-967D-49B4-8B4B-F5E9DFA6A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1"/>
  <sheetViews>
    <sheetView tabSelected="1" topLeftCell="H1" zoomScale="60" zoomScaleNormal="60" workbookViewId="0">
      <selection activeCell="AF112" sqref="AF112"/>
    </sheetView>
  </sheetViews>
  <sheetFormatPr defaultRowHeight="15" x14ac:dyDescent="0.25"/>
  <cols>
    <col min="3" max="4" width="14.7109375" bestFit="1" customWidth="1"/>
    <col min="5" max="5" width="10.7109375" bestFit="1" customWidth="1"/>
    <col min="6" max="6" width="22.7109375" bestFit="1" customWidth="1"/>
    <col min="7" max="7" width="9.7109375" bestFit="1" customWidth="1"/>
    <col min="8" max="8" width="10.7109375" bestFit="1" customWidth="1"/>
    <col min="9" max="9" width="8.7109375" bestFit="1" customWidth="1"/>
    <col min="10" max="10" width="9.7109375" bestFit="1" customWidth="1"/>
    <col min="11" max="11" width="8.7109375" bestFit="1" customWidth="1"/>
    <col min="12" max="12" width="9.7109375" bestFit="1" customWidth="1"/>
    <col min="13" max="13" width="9.85546875" bestFit="1" customWidth="1"/>
    <col min="15" max="19" width="9.85546875" bestFit="1" customWidth="1"/>
    <col min="21" max="24" width="9.85546875" bestFit="1" customWidth="1"/>
    <col min="25" max="25" width="10.85546875" bestFit="1" customWidth="1"/>
    <col min="26" max="26" width="9.85546875" bestFit="1" customWidth="1"/>
    <col min="27" max="27" width="10.7109375" bestFit="1" customWidth="1"/>
    <col min="28" max="28" width="9.7109375" bestFit="1" customWidth="1"/>
    <col min="31" max="31" width="10" bestFit="1" customWidth="1"/>
    <col min="32" max="32" width="10.7109375" bestFit="1" customWidth="1"/>
    <col min="33" max="33" width="10" bestFit="1" customWidth="1"/>
    <col min="36" max="36" width="14.42578125" bestFit="1" customWidth="1"/>
    <col min="37" max="37" width="11" bestFit="1" customWidth="1"/>
    <col min="38" max="38" width="11.28515625" bestFit="1" customWidth="1"/>
    <col min="39" max="40" width="10.5703125" bestFit="1" customWidth="1"/>
    <col min="41" max="41" width="10.85546875" bestFit="1" customWidth="1"/>
  </cols>
  <sheetData>
    <row r="1" spans="1:41" x14ac:dyDescent="0.25">
      <c r="C1" t="s">
        <v>0</v>
      </c>
    </row>
    <row r="2" spans="1:41" x14ac:dyDescent="0.25">
      <c r="N2" s="11" t="s">
        <v>6</v>
      </c>
      <c r="O2" s="11"/>
      <c r="P2" s="11"/>
      <c r="Q2" s="11"/>
      <c r="R2" s="11"/>
      <c r="S2" s="11"/>
    </row>
    <row r="3" spans="1:41" x14ac:dyDescent="0.25">
      <c r="C3" t="s">
        <v>1</v>
      </c>
      <c r="G3" t="s">
        <v>7</v>
      </c>
      <c r="N3" s="11"/>
      <c r="O3" s="11"/>
      <c r="P3" s="11"/>
      <c r="Q3" s="11"/>
      <c r="R3" s="11"/>
      <c r="S3" s="11"/>
    </row>
    <row r="4" spans="1:41" x14ac:dyDescent="0.25">
      <c r="C4" t="s">
        <v>2</v>
      </c>
      <c r="D4" t="s">
        <v>0</v>
      </c>
      <c r="E4" t="s">
        <v>3</v>
      </c>
      <c r="F4" t="s">
        <v>4</v>
      </c>
    </row>
    <row r="5" spans="1:41" x14ac:dyDescent="0.25">
      <c r="C5" t="s">
        <v>5</v>
      </c>
      <c r="D5" s="1">
        <v>43379</v>
      </c>
      <c r="E5" s="1">
        <v>43404</v>
      </c>
      <c r="F5" s="1">
        <v>43417</v>
      </c>
      <c r="G5" s="1">
        <v>43439</v>
      </c>
      <c r="H5" s="1">
        <v>43452</v>
      </c>
      <c r="I5" s="1">
        <v>43470</v>
      </c>
      <c r="J5" s="1">
        <v>43486</v>
      </c>
      <c r="K5" s="1">
        <v>43502</v>
      </c>
      <c r="L5" s="1">
        <v>43521</v>
      </c>
      <c r="M5" s="1">
        <v>43537</v>
      </c>
      <c r="N5" s="1">
        <v>43556</v>
      </c>
      <c r="O5" s="1">
        <v>43565</v>
      </c>
      <c r="P5" s="1">
        <v>43579</v>
      </c>
      <c r="Q5" s="1">
        <v>43600</v>
      </c>
      <c r="R5" s="1">
        <v>43614</v>
      </c>
      <c r="S5" s="1">
        <v>43628</v>
      </c>
      <c r="T5" s="1">
        <v>43654</v>
      </c>
      <c r="U5" s="1">
        <v>43670</v>
      </c>
      <c r="V5" s="1">
        <v>43693</v>
      </c>
      <c r="W5" s="1">
        <v>43707</v>
      </c>
      <c r="X5" s="1">
        <v>43733</v>
      </c>
      <c r="Y5" s="1">
        <v>43748</v>
      </c>
      <c r="Z5" s="1">
        <v>43770</v>
      </c>
      <c r="AA5" s="1">
        <v>43790</v>
      </c>
      <c r="AB5" s="1">
        <v>43806</v>
      </c>
      <c r="AC5" s="1">
        <v>43817</v>
      </c>
      <c r="AD5" s="1">
        <v>43839</v>
      </c>
      <c r="AE5" s="1">
        <v>43869</v>
      </c>
      <c r="AF5" s="1">
        <v>43902</v>
      </c>
      <c r="AG5" s="1">
        <v>43924</v>
      </c>
      <c r="AH5" s="9">
        <v>43953</v>
      </c>
      <c r="AI5" s="9">
        <v>43982</v>
      </c>
      <c r="AJ5" s="9">
        <v>44024</v>
      </c>
      <c r="AK5" s="1">
        <v>44078</v>
      </c>
      <c r="AL5" s="1">
        <v>44138</v>
      </c>
      <c r="AM5" s="1">
        <v>44231</v>
      </c>
      <c r="AN5" s="1">
        <v>44355</v>
      </c>
      <c r="AO5" s="1">
        <v>44613</v>
      </c>
    </row>
    <row r="6" spans="1:41" x14ac:dyDescent="0.25">
      <c r="A6" s="2">
        <f>B6-3</f>
        <v>-1</v>
      </c>
      <c r="B6" s="2">
        <v>2</v>
      </c>
      <c r="C6" s="3">
        <v>1</v>
      </c>
    </row>
    <row r="7" spans="1:41" x14ac:dyDescent="0.25">
      <c r="A7" s="2">
        <f t="shared" ref="A7:A17" si="0">B7-3</f>
        <v>1</v>
      </c>
      <c r="B7" s="2">
        <v>4</v>
      </c>
      <c r="C7" s="3">
        <v>1</v>
      </c>
      <c r="D7">
        <v>0</v>
      </c>
      <c r="E7">
        <f t="shared" ref="E7:X19" si="1">ABS(E45)</f>
        <v>7.3000000000000001E-3</v>
      </c>
      <c r="F7">
        <f t="shared" si="1"/>
        <v>1E-4</v>
      </c>
      <c r="G7">
        <f t="shared" si="1"/>
        <v>1.0999999999999999E-2</v>
      </c>
      <c r="H7">
        <f t="shared" si="1"/>
        <v>5.8999999999999999E-3</v>
      </c>
      <c r="I7">
        <f t="shared" si="1"/>
        <v>3.2000000000000002E-3</v>
      </c>
      <c r="J7">
        <f t="shared" si="1"/>
        <v>8.8000000000000005E-3</v>
      </c>
      <c r="K7">
        <f t="shared" si="1"/>
        <v>1.04E-2</v>
      </c>
      <c r="L7">
        <f t="shared" si="1"/>
        <v>0.01</v>
      </c>
      <c r="M7">
        <f t="shared" si="1"/>
        <v>1.21E-2</v>
      </c>
      <c r="N7">
        <f t="shared" si="1"/>
        <v>4.8999999999999998E-3</v>
      </c>
      <c r="O7">
        <f t="shared" si="1"/>
        <v>1.21E-2</v>
      </c>
      <c r="P7">
        <f t="shared" si="1"/>
        <v>9.1000000000000004E-3</v>
      </c>
      <c r="Q7">
        <f t="shared" si="1"/>
        <v>1.04E-2</v>
      </c>
      <c r="R7">
        <f t="shared" si="1"/>
        <v>1.1900000000000001E-2</v>
      </c>
      <c r="S7">
        <f t="shared" si="1"/>
        <v>2.18E-2</v>
      </c>
      <c r="T7">
        <f t="shared" si="1"/>
        <v>3.0999999999999999E-3</v>
      </c>
      <c r="U7">
        <f t="shared" si="1"/>
        <v>2.2100000000000002E-2</v>
      </c>
      <c r="V7">
        <f t="shared" si="1"/>
        <v>2.3900000000000001E-2</v>
      </c>
      <c r="W7">
        <f t="shared" si="1"/>
        <v>3.8399999999999997E-2</v>
      </c>
      <c r="X7">
        <f t="shared" si="1"/>
        <v>1.6999999999999999E-3</v>
      </c>
      <c r="Y7">
        <f t="shared" ref="Y7:AO7" si="2">ABS(Y45)</f>
        <v>6.7999999999999996E-3</v>
      </c>
      <c r="Z7">
        <f t="shared" si="2"/>
        <v>4.5199999999999997E-2</v>
      </c>
      <c r="AA7">
        <f t="shared" si="2"/>
        <v>1.2800000000000001E-2</v>
      </c>
      <c r="AB7">
        <v>1.2800000000000001E-2</v>
      </c>
      <c r="AC7">
        <f t="shared" si="2"/>
        <v>1.2800000000000001E-2</v>
      </c>
      <c r="AD7">
        <f t="shared" si="2"/>
        <v>1.2800000000000001E-2</v>
      </c>
      <c r="AE7">
        <f t="shared" si="2"/>
        <v>1.2800000000000001E-2</v>
      </c>
      <c r="AF7">
        <f t="shared" si="2"/>
        <v>1.7399999999999999E-2</v>
      </c>
      <c r="AG7">
        <f t="shared" si="2"/>
        <v>1.03E-2</v>
      </c>
      <c r="AH7">
        <f t="shared" si="2"/>
        <v>8.2000000000000007E-3</v>
      </c>
      <c r="AI7">
        <f t="shared" si="2"/>
        <v>1.46E-2</v>
      </c>
      <c r="AJ7">
        <f t="shared" si="2"/>
        <v>1.03E-2</v>
      </c>
      <c r="AK7">
        <f t="shared" si="2"/>
        <v>4.6800000000000001E-2</v>
      </c>
      <c r="AL7">
        <f t="shared" si="2"/>
        <v>0.62880000000000003</v>
      </c>
      <c r="AM7">
        <f t="shared" si="2"/>
        <v>0.59809999999999997</v>
      </c>
      <c r="AN7">
        <f t="shared" si="2"/>
        <v>0.62839999999999996</v>
      </c>
      <c r="AO7">
        <f t="shared" si="2"/>
        <v>0.73839999999999995</v>
      </c>
    </row>
    <row r="8" spans="1:41" x14ac:dyDescent="0.25">
      <c r="A8" s="2">
        <f t="shared" si="0"/>
        <v>3</v>
      </c>
      <c r="B8" s="2">
        <v>6</v>
      </c>
      <c r="C8" s="3">
        <v>3</v>
      </c>
      <c r="D8">
        <v>0</v>
      </c>
      <c r="E8">
        <f t="shared" si="1"/>
        <v>1.24E-2</v>
      </c>
      <c r="F8">
        <f t="shared" si="1"/>
        <v>1.55E-2</v>
      </c>
      <c r="G8">
        <f t="shared" si="1"/>
        <v>2.5899999999999999E-2</v>
      </c>
      <c r="H8">
        <f t="shared" si="1"/>
        <v>2.41E-2</v>
      </c>
      <c r="I8">
        <f t="shared" si="1"/>
        <v>2.0799999999999999E-2</v>
      </c>
      <c r="J8">
        <f t="shared" si="1"/>
        <v>2.4E-2</v>
      </c>
      <c r="K8">
        <f t="shared" si="1"/>
        <v>2.5100000000000001E-2</v>
      </c>
      <c r="L8">
        <f t="shared" si="1"/>
        <v>2.52E-2</v>
      </c>
      <c r="M8">
        <f t="shared" si="1"/>
        <v>2.7099999999999999E-2</v>
      </c>
      <c r="N8">
        <f t="shared" si="1"/>
        <v>1.9800000000000002E-2</v>
      </c>
      <c r="O8">
        <f t="shared" si="1"/>
        <v>2.6599999999999999E-2</v>
      </c>
      <c r="P8">
        <f t="shared" si="1"/>
        <v>2.3599999999999999E-2</v>
      </c>
      <c r="Q8">
        <f t="shared" si="1"/>
        <v>2.4799999999999999E-2</v>
      </c>
      <c r="R8">
        <f t="shared" si="1"/>
        <v>2.6599999999999999E-2</v>
      </c>
      <c r="S8">
        <f t="shared" si="1"/>
        <v>3.5999999999999997E-2</v>
      </c>
      <c r="T8">
        <f t="shared" si="1"/>
        <v>4.1399999999999999E-2</v>
      </c>
      <c r="U8">
        <f t="shared" si="1"/>
        <v>4.5600000000000002E-2</v>
      </c>
      <c r="V8">
        <f t="shared" si="1"/>
        <v>5.0999999999999997E-2</v>
      </c>
      <c r="W8">
        <f t="shared" si="1"/>
        <v>5.5899999999999998E-2</v>
      </c>
      <c r="X8">
        <f t="shared" ref="X8:AA8" si="3">ABS(X46)</f>
        <v>5.1999999999999998E-2</v>
      </c>
      <c r="Y8">
        <f t="shared" si="3"/>
        <v>6.8599999999999994E-2</v>
      </c>
      <c r="Z8">
        <f t="shared" si="3"/>
        <v>6.2300000000000001E-2</v>
      </c>
      <c r="AA8">
        <f t="shared" si="3"/>
        <v>7.7299999999999994E-2</v>
      </c>
      <c r="AB8">
        <v>7.7299999999999994E-2</v>
      </c>
      <c r="AC8">
        <f t="shared" ref="AC8:AO8" si="4">ABS(AC46)</f>
        <v>6.83E-2</v>
      </c>
      <c r="AD8">
        <f t="shared" si="4"/>
        <v>5.7099999999999998E-2</v>
      </c>
      <c r="AE8">
        <f t="shared" si="4"/>
        <v>6.13E-2</v>
      </c>
      <c r="AF8">
        <f t="shared" si="4"/>
        <v>5.0799999999999998E-2</v>
      </c>
      <c r="AG8">
        <f t="shared" si="4"/>
        <v>5.0599999999999999E-2</v>
      </c>
      <c r="AH8">
        <f t="shared" si="4"/>
        <v>5.6800000000000003E-2</v>
      </c>
      <c r="AI8">
        <f t="shared" si="4"/>
        <v>5.5E-2</v>
      </c>
      <c r="AJ8">
        <f t="shared" si="4"/>
        <v>6.1199999999999997E-2</v>
      </c>
      <c r="AK8">
        <f t="shared" si="4"/>
        <v>6.6400000000000001E-2</v>
      </c>
      <c r="AL8">
        <f t="shared" si="4"/>
        <v>0.54190000000000005</v>
      </c>
      <c r="AM8">
        <f t="shared" si="4"/>
        <v>0.51339999999999997</v>
      </c>
      <c r="AN8">
        <f t="shared" si="4"/>
        <v>0.53979999999999995</v>
      </c>
      <c r="AO8">
        <f t="shared" si="4"/>
        <v>0.64580000000000004</v>
      </c>
    </row>
    <row r="9" spans="1:41" x14ac:dyDescent="0.25">
      <c r="A9" s="2">
        <f t="shared" si="0"/>
        <v>5</v>
      </c>
      <c r="B9" s="2">
        <v>8</v>
      </c>
      <c r="C9" s="3">
        <v>5</v>
      </c>
      <c r="D9">
        <v>0</v>
      </c>
      <c r="E9">
        <f t="shared" si="1"/>
        <v>1.24E-2</v>
      </c>
      <c r="F9">
        <f t="shared" si="1"/>
        <v>1.12E-2</v>
      </c>
      <c r="G9">
        <f t="shared" si="1"/>
        <v>1.24E-2</v>
      </c>
      <c r="H9">
        <f t="shared" si="1"/>
        <v>8.8000000000000005E-3</v>
      </c>
      <c r="I9">
        <f t="shared" si="1"/>
        <v>3.2000000000000002E-3</v>
      </c>
      <c r="J9">
        <f t="shared" si="1"/>
        <v>6.0000000000000001E-3</v>
      </c>
      <c r="K9">
        <f t="shared" si="1"/>
        <v>6.4999999999999997E-3</v>
      </c>
      <c r="L9">
        <f t="shared" si="1"/>
        <v>6.6E-3</v>
      </c>
      <c r="M9">
        <f t="shared" si="1"/>
        <v>8.2000000000000007E-3</v>
      </c>
      <c r="N9">
        <f t="shared" si="1"/>
        <v>3.7000000000000002E-3</v>
      </c>
      <c r="O9">
        <f t="shared" si="1"/>
        <v>7.9000000000000008E-3</v>
      </c>
      <c r="P9">
        <f t="shared" si="1"/>
        <v>6.0000000000000001E-3</v>
      </c>
      <c r="Q9">
        <f t="shared" si="1"/>
        <v>6.1999999999999998E-3</v>
      </c>
      <c r="R9">
        <f t="shared" si="1"/>
        <v>8.8000000000000005E-3</v>
      </c>
      <c r="S9">
        <f t="shared" si="1"/>
        <v>1.6899999999999998E-2</v>
      </c>
      <c r="T9">
        <f t="shared" si="1"/>
        <v>2.2800000000000001E-2</v>
      </c>
      <c r="U9">
        <f t="shared" si="1"/>
        <v>2.7199999999999998E-2</v>
      </c>
      <c r="V9">
        <f t="shared" si="1"/>
        <v>3.3500000000000002E-2</v>
      </c>
      <c r="W9">
        <f t="shared" si="1"/>
        <v>3.7699999999999997E-2</v>
      </c>
      <c r="X9">
        <f t="shared" ref="X9:AA9" si="5">ABS(X47)</f>
        <v>3.49E-2</v>
      </c>
      <c r="Y9">
        <f t="shared" si="5"/>
        <v>5.1499999999999997E-2</v>
      </c>
      <c r="Z9">
        <f t="shared" si="5"/>
        <v>4.7500000000000001E-2</v>
      </c>
      <c r="AA9">
        <f t="shared" si="5"/>
        <v>0.06</v>
      </c>
      <c r="AB9">
        <v>0.06</v>
      </c>
      <c r="AC9">
        <f t="shared" ref="AC9:AO9" si="6">ABS(AC47)</f>
        <v>4.5600000000000002E-2</v>
      </c>
      <c r="AD9">
        <f t="shared" si="6"/>
        <v>3.3599999999999998E-2</v>
      </c>
      <c r="AE9">
        <f t="shared" si="6"/>
        <v>3.7900000000000003E-2</v>
      </c>
      <c r="AF9">
        <f t="shared" si="6"/>
        <v>2.81E-2</v>
      </c>
      <c r="AG9">
        <f t="shared" si="6"/>
        <v>2.7799999999999998E-2</v>
      </c>
      <c r="AH9">
        <f t="shared" si="6"/>
        <v>3.3000000000000002E-2</v>
      </c>
      <c r="AI9">
        <f t="shared" si="6"/>
        <v>3.2199999999999999E-2</v>
      </c>
      <c r="AJ9">
        <f t="shared" si="6"/>
        <v>3.9199999999999999E-2</v>
      </c>
      <c r="AK9">
        <f t="shared" si="6"/>
        <v>4.2799999999999998E-2</v>
      </c>
      <c r="AL9">
        <f t="shared" si="6"/>
        <v>0.42380000000000001</v>
      </c>
      <c r="AM9">
        <f t="shared" si="6"/>
        <v>0.40160000000000001</v>
      </c>
      <c r="AN9">
        <f t="shared" si="6"/>
        <v>0.42199999999999999</v>
      </c>
      <c r="AO9">
        <f t="shared" si="6"/>
        <v>0.52500000000000002</v>
      </c>
    </row>
    <row r="10" spans="1:41" x14ac:dyDescent="0.25">
      <c r="A10" s="2">
        <f t="shared" si="0"/>
        <v>7</v>
      </c>
      <c r="B10" s="2">
        <v>10</v>
      </c>
      <c r="C10" s="3">
        <v>7</v>
      </c>
      <c r="D10">
        <v>0</v>
      </c>
      <c r="E10">
        <f t="shared" si="1"/>
        <v>1.14E-2</v>
      </c>
      <c r="F10">
        <f t="shared" si="1"/>
        <v>1.01E-2</v>
      </c>
      <c r="G10">
        <f t="shared" si="1"/>
        <v>1.09E-2</v>
      </c>
      <c r="H10">
        <f t="shared" si="1"/>
        <v>7.1999999999999998E-3</v>
      </c>
      <c r="I10">
        <f t="shared" si="1"/>
        <v>1E-3</v>
      </c>
      <c r="J10">
        <f t="shared" si="1"/>
        <v>3.5000000000000001E-3</v>
      </c>
      <c r="K10">
        <f t="shared" si="1"/>
        <v>4.1000000000000003E-3</v>
      </c>
      <c r="L10">
        <f t="shared" si="1"/>
        <v>3.8E-3</v>
      </c>
      <c r="M10">
        <f t="shared" si="1"/>
        <v>4.8999999999999998E-3</v>
      </c>
      <c r="N10">
        <f t="shared" si="1"/>
        <v>2.5999999999999999E-3</v>
      </c>
      <c r="O10">
        <f t="shared" si="1"/>
        <v>5.0000000000000001E-3</v>
      </c>
      <c r="P10">
        <f t="shared" si="1"/>
        <v>4.0000000000000001E-3</v>
      </c>
      <c r="Q10">
        <f t="shared" si="1"/>
        <v>3.2000000000000002E-3</v>
      </c>
      <c r="R10">
        <f t="shared" si="1"/>
        <v>6.6E-3</v>
      </c>
      <c r="S10">
        <f t="shared" si="1"/>
        <v>1.37E-2</v>
      </c>
      <c r="T10">
        <f t="shared" si="1"/>
        <v>1.9E-2</v>
      </c>
      <c r="U10">
        <f t="shared" si="1"/>
        <v>2.29E-2</v>
      </c>
      <c r="V10">
        <f t="shared" si="1"/>
        <v>2.9399999999999999E-2</v>
      </c>
      <c r="W10">
        <f t="shared" si="1"/>
        <v>3.3399999999999999E-2</v>
      </c>
      <c r="X10">
        <f t="shared" ref="X10:AA10" si="7">ABS(X48)</f>
        <v>3.1699999999999999E-2</v>
      </c>
      <c r="Y10">
        <f t="shared" si="7"/>
        <v>4.6399999999999997E-2</v>
      </c>
      <c r="Z10">
        <f t="shared" si="7"/>
        <v>4.4200000000000003E-2</v>
      </c>
      <c r="AA10">
        <f t="shared" si="7"/>
        <v>5.5800000000000002E-2</v>
      </c>
      <c r="AB10">
        <v>5.5800000000000002E-2</v>
      </c>
      <c r="AC10">
        <f t="shared" ref="AC10:AO10" si="8">ABS(AC48)</f>
        <v>4.1599999999999998E-2</v>
      </c>
      <c r="AD10">
        <f t="shared" si="8"/>
        <v>3.0499999999999999E-2</v>
      </c>
      <c r="AE10">
        <f t="shared" si="8"/>
        <v>3.3599999999999998E-2</v>
      </c>
      <c r="AF10">
        <f t="shared" si="8"/>
        <v>2.5399999999999999E-2</v>
      </c>
      <c r="AG10">
        <f t="shared" si="8"/>
        <v>2.47E-2</v>
      </c>
      <c r="AH10">
        <f t="shared" si="8"/>
        <v>2.9600000000000001E-2</v>
      </c>
      <c r="AI10">
        <f t="shared" si="8"/>
        <v>2.9399999999999999E-2</v>
      </c>
      <c r="AJ10">
        <f t="shared" si="8"/>
        <v>3.6400000000000002E-2</v>
      </c>
      <c r="AK10">
        <f t="shared" si="8"/>
        <v>4.02E-2</v>
      </c>
      <c r="AL10">
        <f t="shared" si="8"/>
        <v>0.30559999999999998</v>
      </c>
      <c r="AM10">
        <f t="shared" si="8"/>
        <v>0.2923</v>
      </c>
      <c r="AN10">
        <f t="shared" si="8"/>
        <v>0.30590000000000001</v>
      </c>
      <c r="AO10">
        <f t="shared" si="8"/>
        <v>0.40739999999999998</v>
      </c>
    </row>
    <row r="11" spans="1:41" x14ac:dyDescent="0.25">
      <c r="A11" s="2">
        <f t="shared" si="0"/>
        <v>9</v>
      </c>
      <c r="B11" s="2">
        <v>12</v>
      </c>
      <c r="C11" s="3">
        <v>9</v>
      </c>
      <c r="D11">
        <v>0</v>
      </c>
      <c r="E11">
        <f t="shared" si="1"/>
        <v>1.0200000000000001E-2</v>
      </c>
      <c r="F11">
        <f t="shared" si="1"/>
        <v>9.5999999999999992E-3</v>
      </c>
      <c r="G11">
        <f t="shared" si="1"/>
        <v>1.12E-2</v>
      </c>
      <c r="H11">
        <f t="shared" si="1"/>
        <v>8.8000000000000005E-3</v>
      </c>
      <c r="I11">
        <f t="shared" si="1"/>
        <v>2.2000000000000001E-3</v>
      </c>
      <c r="J11">
        <f t="shared" si="1"/>
        <v>4.3E-3</v>
      </c>
      <c r="K11">
        <f t="shared" si="1"/>
        <v>4.0000000000000001E-3</v>
      </c>
      <c r="L11">
        <f t="shared" si="1"/>
        <v>3.3999999999999998E-3</v>
      </c>
      <c r="M11">
        <f t="shared" si="1"/>
        <v>4.4000000000000003E-3</v>
      </c>
      <c r="N11">
        <f t="shared" si="1"/>
        <v>2.5999999999999999E-3</v>
      </c>
      <c r="O11">
        <f t="shared" si="1"/>
        <v>4.7999999999999996E-3</v>
      </c>
      <c r="P11">
        <f t="shared" si="1"/>
        <v>3.0999999999999999E-3</v>
      </c>
      <c r="Q11">
        <f t="shared" si="1"/>
        <v>2.5000000000000001E-3</v>
      </c>
      <c r="R11">
        <f t="shared" si="1"/>
        <v>6.4000000000000003E-3</v>
      </c>
      <c r="S11">
        <f t="shared" si="1"/>
        <v>1.1599999999999999E-2</v>
      </c>
      <c r="T11">
        <f t="shared" si="1"/>
        <v>1.61E-2</v>
      </c>
      <c r="U11">
        <f t="shared" si="1"/>
        <v>1.9599999999999999E-2</v>
      </c>
      <c r="V11">
        <f t="shared" si="1"/>
        <v>2.5899999999999999E-2</v>
      </c>
      <c r="W11">
        <f t="shared" si="1"/>
        <v>2.9399999999999999E-2</v>
      </c>
      <c r="X11">
        <f t="shared" ref="X11:AA11" si="9">ABS(X49)</f>
        <v>2.92E-2</v>
      </c>
      <c r="Y11">
        <f t="shared" si="9"/>
        <v>4.2500000000000003E-2</v>
      </c>
      <c r="Z11">
        <f t="shared" si="9"/>
        <v>4.2000000000000003E-2</v>
      </c>
      <c r="AA11">
        <f t="shared" si="9"/>
        <v>5.2299999999999999E-2</v>
      </c>
      <c r="AB11">
        <v>5.2299999999999999E-2</v>
      </c>
      <c r="AC11">
        <f t="shared" ref="AC11:AO11" si="10">ABS(AC49)</f>
        <v>4.0899999999999999E-2</v>
      </c>
      <c r="AD11">
        <f t="shared" si="10"/>
        <v>0.03</v>
      </c>
      <c r="AE11">
        <f t="shared" si="10"/>
        <v>3.3399999999999999E-2</v>
      </c>
      <c r="AF11">
        <f t="shared" si="10"/>
        <v>2.6499999999999999E-2</v>
      </c>
      <c r="AG11">
        <f t="shared" si="10"/>
        <v>2.5899999999999999E-2</v>
      </c>
      <c r="AH11">
        <f t="shared" si="10"/>
        <v>0.03</v>
      </c>
      <c r="AI11">
        <f t="shared" si="10"/>
        <v>3.0499999999999999E-2</v>
      </c>
      <c r="AJ11">
        <f t="shared" si="10"/>
        <v>3.7199999999999997E-2</v>
      </c>
      <c r="AK11">
        <f t="shared" si="10"/>
        <v>4.1799999999999997E-2</v>
      </c>
      <c r="AL11">
        <f t="shared" si="10"/>
        <v>0.19089999999999999</v>
      </c>
      <c r="AM11">
        <f t="shared" si="10"/>
        <v>0.18759999999999999</v>
      </c>
      <c r="AN11">
        <f t="shared" si="10"/>
        <v>0.19400000000000001</v>
      </c>
      <c r="AO11">
        <f t="shared" si="10"/>
        <v>0.2944</v>
      </c>
    </row>
    <row r="12" spans="1:41" x14ac:dyDescent="0.25">
      <c r="A12" s="2">
        <f t="shared" si="0"/>
        <v>11</v>
      </c>
      <c r="B12" s="2">
        <v>14</v>
      </c>
      <c r="C12" s="3">
        <v>11</v>
      </c>
      <c r="D12">
        <v>0</v>
      </c>
      <c r="E12">
        <f t="shared" si="1"/>
        <v>9.1999999999999998E-3</v>
      </c>
      <c r="F12">
        <f t="shared" si="1"/>
        <v>8.9999999999999993E-3</v>
      </c>
      <c r="G12">
        <f t="shared" si="1"/>
        <v>1.1599999999999999E-2</v>
      </c>
      <c r="H12">
        <f t="shared" si="1"/>
        <v>1.0999999999999999E-2</v>
      </c>
      <c r="I12">
        <f t="shared" si="1"/>
        <v>5.5999999999999999E-3</v>
      </c>
      <c r="J12">
        <f t="shared" si="1"/>
        <v>6.6E-3</v>
      </c>
      <c r="K12">
        <f t="shared" si="1"/>
        <v>5.7999999999999996E-3</v>
      </c>
      <c r="L12">
        <f t="shared" si="1"/>
        <v>4.7000000000000002E-3</v>
      </c>
      <c r="M12">
        <f t="shared" si="1"/>
        <v>6.1000000000000004E-3</v>
      </c>
      <c r="N12">
        <f t="shared" si="1"/>
        <v>4.1999999999999997E-3</v>
      </c>
      <c r="O12">
        <f t="shared" si="1"/>
        <v>6.1999999999999998E-3</v>
      </c>
      <c r="P12">
        <f t="shared" si="1"/>
        <v>5.1999999999999998E-3</v>
      </c>
      <c r="Q12">
        <f t="shared" si="1"/>
        <v>3.5000000000000001E-3</v>
      </c>
      <c r="R12">
        <f t="shared" si="1"/>
        <v>7.1999999999999998E-3</v>
      </c>
      <c r="S12">
        <f t="shared" si="1"/>
        <v>1.1299999999999999E-2</v>
      </c>
      <c r="T12">
        <f t="shared" si="1"/>
        <v>1.4999999999999999E-2</v>
      </c>
      <c r="U12">
        <f t="shared" si="1"/>
        <v>1.72E-2</v>
      </c>
      <c r="V12">
        <f t="shared" si="1"/>
        <v>2.3E-2</v>
      </c>
      <c r="W12">
        <f t="shared" si="1"/>
        <v>2.6499999999999999E-2</v>
      </c>
      <c r="X12">
        <f t="shared" ref="X12:AA12" si="11">ABS(X50)</f>
        <v>2.69E-2</v>
      </c>
      <c r="Y12">
        <f t="shared" si="11"/>
        <v>3.8800000000000001E-2</v>
      </c>
      <c r="Z12">
        <f t="shared" si="11"/>
        <v>3.9E-2</v>
      </c>
      <c r="AA12">
        <f t="shared" si="11"/>
        <v>4.9000000000000002E-2</v>
      </c>
      <c r="AB12">
        <v>4.9000000000000002E-2</v>
      </c>
      <c r="AC12">
        <f t="shared" ref="AC12:AO12" si="12">ABS(AC50)</f>
        <v>4.1599999999999998E-2</v>
      </c>
      <c r="AD12">
        <f t="shared" si="12"/>
        <v>3.1399999999999997E-2</v>
      </c>
      <c r="AE12">
        <f t="shared" si="12"/>
        <v>3.5400000000000001E-2</v>
      </c>
      <c r="AF12">
        <f t="shared" si="12"/>
        <v>2.9899999999999999E-2</v>
      </c>
      <c r="AG12">
        <f t="shared" si="12"/>
        <v>2.9000000000000001E-2</v>
      </c>
      <c r="AH12">
        <f t="shared" si="12"/>
        <v>3.2399999999999998E-2</v>
      </c>
      <c r="AI12">
        <f t="shared" si="12"/>
        <v>3.3500000000000002E-2</v>
      </c>
      <c r="AJ12">
        <f t="shared" si="12"/>
        <v>3.95E-2</v>
      </c>
      <c r="AK12">
        <f t="shared" si="12"/>
        <v>4.5499999999999999E-2</v>
      </c>
      <c r="AL12">
        <f t="shared" si="12"/>
        <v>0.1062</v>
      </c>
      <c r="AM12">
        <f t="shared" si="12"/>
        <v>0.10979999999999999</v>
      </c>
      <c r="AN12">
        <f t="shared" si="12"/>
        <v>0.1118</v>
      </c>
      <c r="AO12">
        <f t="shared" si="12"/>
        <v>0.21060000000000001</v>
      </c>
    </row>
    <row r="13" spans="1:41" x14ac:dyDescent="0.25">
      <c r="A13" s="2">
        <f t="shared" si="0"/>
        <v>13</v>
      </c>
      <c r="B13" s="2">
        <v>16</v>
      </c>
      <c r="C13" s="3">
        <v>13</v>
      </c>
      <c r="D13">
        <v>0</v>
      </c>
      <c r="E13">
        <f t="shared" si="1"/>
        <v>8.5000000000000006E-3</v>
      </c>
      <c r="F13">
        <f t="shared" si="1"/>
        <v>9.5999999999999992E-3</v>
      </c>
      <c r="G13">
        <f t="shared" si="1"/>
        <v>1.1900000000000001E-2</v>
      </c>
      <c r="H13">
        <f t="shared" si="1"/>
        <v>1.2999999999999999E-2</v>
      </c>
      <c r="I13">
        <f t="shared" si="1"/>
        <v>0.01</v>
      </c>
      <c r="J13">
        <f t="shared" si="1"/>
        <v>9.7999999999999997E-3</v>
      </c>
      <c r="K13">
        <f t="shared" si="1"/>
        <v>8.3999999999999995E-3</v>
      </c>
      <c r="L13">
        <f t="shared" si="1"/>
        <v>7.0000000000000001E-3</v>
      </c>
      <c r="M13">
        <f t="shared" si="1"/>
        <v>8.9999999999999993E-3</v>
      </c>
      <c r="N13">
        <f t="shared" si="1"/>
        <v>6.6E-3</v>
      </c>
      <c r="O13">
        <f t="shared" si="1"/>
        <v>8.3000000000000001E-3</v>
      </c>
      <c r="P13">
        <f t="shared" si="1"/>
        <v>7.0000000000000001E-3</v>
      </c>
      <c r="Q13">
        <f t="shared" si="1"/>
        <v>4.7999999999999996E-3</v>
      </c>
      <c r="R13">
        <f t="shared" si="1"/>
        <v>7.4000000000000003E-3</v>
      </c>
      <c r="S13">
        <f t="shared" si="1"/>
        <v>1.0699999999999999E-2</v>
      </c>
      <c r="T13">
        <f t="shared" si="1"/>
        <v>1.4200000000000001E-2</v>
      </c>
      <c r="U13">
        <f t="shared" si="1"/>
        <v>1.4999999999999999E-2</v>
      </c>
      <c r="V13">
        <f t="shared" si="1"/>
        <v>2.0199999999999999E-2</v>
      </c>
      <c r="W13">
        <f t="shared" si="1"/>
        <v>2.3E-2</v>
      </c>
      <c r="X13">
        <f t="shared" ref="X13:AA13" si="13">ABS(X51)</f>
        <v>2.3800000000000002E-2</v>
      </c>
      <c r="Y13">
        <f t="shared" si="13"/>
        <v>3.4700000000000002E-2</v>
      </c>
      <c r="Z13">
        <f t="shared" si="13"/>
        <v>3.5799999999999998E-2</v>
      </c>
      <c r="AA13">
        <f t="shared" si="13"/>
        <v>4.48E-2</v>
      </c>
      <c r="AB13">
        <v>4.48E-2</v>
      </c>
      <c r="AC13">
        <f t="shared" ref="AC13:AO13" si="14">ABS(AC51)</f>
        <v>4.1500000000000002E-2</v>
      </c>
      <c r="AD13">
        <f t="shared" si="14"/>
        <v>3.2599999999999997E-2</v>
      </c>
      <c r="AE13">
        <f t="shared" si="14"/>
        <v>3.6799999999999999E-2</v>
      </c>
      <c r="AF13">
        <f t="shared" si="14"/>
        <v>3.2300000000000002E-2</v>
      </c>
      <c r="AG13">
        <f t="shared" si="14"/>
        <v>3.1699999999999999E-2</v>
      </c>
      <c r="AH13">
        <f t="shared" si="14"/>
        <v>3.3799999999999997E-2</v>
      </c>
      <c r="AI13">
        <f t="shared" si="14"/>
        <v>3.44E-2</v>
      </c>
      <c r="AJ13">
        <f t="shared" si="14"/>
        <v>3.9399999999999998E-2</v>
      </c>
      <c r="AK13">
        <f t="shared" si="14"/>
        <v>4.58E-2</v>
      </c>
      <c r="AL13">
        <f t="shared" si="14"/>
        <v>8.8099999999999998E-2</v>
      </c>
      <c r="AM13">
        <f t="shared" si="14"/>
        <v>9.0999999999999998E-2</v>
      </c>
      <c r="AN13">
        <f t="shared" si="14"/>
        <v>9.2200000000000004E-2</v>
      </c>
      <c r="AO13">
        <f t="shared" si="14"/>
        <v>0.1915</v>
      </c>
    </row>
    <row r="14" spans="1:41" x14ac:dyDescent="0.25">
      <c r="A14" s="2">
        <f t="shared" si="0"/>
        <v>15</v>
      </c>
      <c r="B14" s="2">
        <v>18</v>
      </c>
      <c r="C14" s="3">
        <v>15</v>
      </c>
      <c r="D14">
        <v>0</v>
      </c>
      <c r="E14">
        <f t="shared" si="1"/>
        <v>7.3000000000000001E-3</v>
      </c>
      <c r="F14">
        <f t="shared" si="1"/>
        <v>8.6E-3</v>
      </c>
      <c r="G14">
        <f t="shared" si="1"/>
        <v>1.1900000000000001E-2</v>
      </c>
      <c r="H14">
        <f t="shared" si="1"/>
        <v>1.26E-2</v>
      </c>
      <c r="I14">
        <f t="shared" si="1"/>
        <v>1.12E-2</v>
      </c>
      <c r="J14">
        <f t="shared" si="1"/>
        <v>1.0999999999999999E-2</v>
      </c>
      <c r="K14">
        <f t="shared" si="1"/>
        <v>9.1999999999999998E-3</v>
      </c>
      <c r="L14">
        <f t="shared" si="1"/>
        <v>8.2000000000000007E-3</v>
      </c>
      <c r="M14">
        <f t="shared" si="1"/>
        <v>1.01E-2</v>
      </c>
      <c r="N14">
        <f t="shared" si="1"/>
        <v>7.9000000000000008E-3</v>
      </c>
      <c r="O14">
        <f t="shared" si="1"/>
        <v>8.8000000000000005E-3</v>
      </c>
      <c r="P14">
        <f t="shared" si="1"/>
        <v>8.2000000000000007E-3</v>
      </c>
      <c r="Q14">
        <f t="shared" si="1"/>
        <v>5.4999999999999997E-3</v>
      </c>
      <c r="R14">
        <f t="shared" si="1"/>
        <v>6.7999999999999996E-3</v>
      </c>
      <c r="S14">
        <f t="shared" si="1"/>
        <v>9.7000000000000003E-3</v>
      </c>
      <c r="T14">
        <f t="shared" si="1"/>
        <v>1.37E-2</v>
      </c>
      <c r="U14">
        <f t="shared" si="1"/>
        <v>1.37E-2</v>
      </c>
      <c r="V14">
        <f t="shared" si="1"/>
        <v>1.7999999999999999E-2</v>
      </c>
      <c r="W14">
        <f t="shared" si="1"/>
        <v>2.0899999999999998E-2</v>
      </c>
      <c r="X14">
        <f t="shared" ref="X14:AA14" si="15">ABS(X52)</f>
        <v>2.1499999999999998E-2</v>
      </c>
      <c r="Y14">
        <f t="shared" si="15"/>
        <v>3.1300000000000001E-2</v>
      </c>
      <c r="Z14">
        <f t="shared" si="15"/>
        <v>3.2599999999999997E-2</v>
      </c>
      <c r="AA14">
        <f t="shared" si="15"/>
        <v>4.1799999999999997E-2</v>
      </c>
      <c r="AB14">
        <v>4.1799999999999997E-2</v>
      </c>
      <c r="AC14">
        <f t="shared" ref="AC14:AO14" si="16">ABS(AC52)</f>
        <v>3.9699999999999999E-2</v>
      </c>
      <c r="AD14">
        <f t="shared" si="16"/>
        <v>3.1300000000000001E-2</v>
      </c>
      <c r="AE14">
        <f t="shared" si="16"/>
        <v>3.5999999999999997E-2</v>
      </c>
      <c r="AF14">
        <f t="shared" si="16"/>
        <v>3.1699999999999999E-2</v>
      </c>
      <c r="AG14">
        <f t="shared" si="16"/>
        <v>3.1E-2</v>
      </c>
      <c r="AH14">
        <f t="shared" si="16"/>
        <v>3.2399999999999998E-2</v>
      </c>
      <c r="AI14">
        <f t="shared" si="16"/>
        <v>3.2399999999999998E-2</v>
      </c>
      <c r="AJ14">
        <f t="shared" si="16"/>
        <v>3.6400000000000002E-2</v>
      </c>
      <c r="AK14">
        <f t="shared" si="16"/>
        <v>4.19E-2</v>
      </c>
      <c r="AL14">
        <f t="shared" si="16"/>
        <v>0.1018</v>
      </c>
      <c r="AM14">
        <f t="shared" si="16"/>
        <v>0.1069</v>
      </c>
      <c r="AN14">
        <f t="shared" si="16"/>
        <v>0.1079</v>
      </c>
      <c r="AO14">
        <f t="shared" si="16"/>
        <v>0.2056</v>
      </c>
    </row>
    <row r="15" spans="1:41" x14ac:dyDescent="0.25">
      <c r="A15" s="2">
        <f t="shared" si="0"/>
        <v>17</v>
      </c>
      <c r="B15" s="2">
        <v>20</v>
      </c>
      <c r="C15" s="3">
        <v>17</v>
      </c>
      <c r="D15">
        <v>0</v>
      </c>
      <c r="E15">
        <f t="shared" si="1"/>
        <v>6.0000000000000001E-3</v>
      </c>
      <c r="F15">
        <f t="shared" si="1"/>
        <v>8.6E-3</v>
      </c>
      <c r="G15">
        <f t="shared" si="1"/>
        <v>1.12E-2</v>
      </c>
      <c r="H15">
        <f t="shared" si="1"/>
        <v>1.2500000000000001E-2</v>
      </c>
      <c r="I15">
        <f t="shared" si="1"/>
        <v>1.34E-2</v>
      </c>
      <c r="J15">
        <f t="shared" si="1"/>
        <v>1.34E-2</v>
      </c>
      <c r="K15">
        <f t="shared" si="1"/>
        <v>1.1599999999999999E-2</v>
      </c>
      <c r="L15">
        <f t="shared" si="1"/>
        <v>1.24E-2</v>
      </c>
      <c r="M15">
        <f t="shared" si="1"/>
        <v>1.34E-2</v>
      </c>
      <c r="N15">
        <f t="shared" si="1"/>
        <v>1.24E-2</v>
      </c>
      <c r="O15">
        <f t="shared" si="1"/>
        <v>1.1599999999999999E-2</v>
      </c>
      <c r="P15">
        <f t="shared" si="1"/>
        <v>1.1299999999999999E-2</v>
      </c>
      <c r="Q15">
        <f t="shared" si="1"/>
        <v>8.3999999999999995E-3</v>
      </c>
      <c r="R15">
        <f t="shared" si="1"/>
        <v>8.8999999999999999E-3</v>
      </c>
      <c r="S15">
        <f t="shared" si="1"/>
        <v>1.0800000000000001E-2</v>
      </c>
      <c r="T15">
        <f t="shared" si="1"/>
        <v>1.4200000000000001E-2</v>
      </c>
      <c r="U15">
        <f t="shared" si="1"/>
        <v>1.32E-2</v>
      </c>
      <c r="V15">
        <f t="shared" si="1"/>
        <v>1.67E-2</v>
      </c>
      <c r="W15">
        <f t="shared" si="1"/>
        <v>1.9300000000000001E-2</v>
      </c>
      <c r="X15">
        <f t="shared" ref="X15:AA15" si="17">ABS(X53)</f>
        <v>1.8100000000000002E-2</v>
      </c>
      <c r="Y15">
        <f t="shared" si="17"/>
        <v>2.7199999999999998E-2</v>
      </c>
      <c r="Z15">
        <f t="shared" si="17"/>
        <v>2.92E-2</v>
      </c>
      <c r="AA15">
        <f t="shared" si="17"/>
        <v>3.7999999999999999E-2</v>
      </c>
      <c r="AB15">
        <v>3.7999999999999999E-2</v>
      </c>
      <c r="AC15">
        <f t="shared" ref="AC15:AO15" si="18">ABS(AC53)</f>
        <v>3.7600000000000001E-2</v>
      </c>
      <c r="AD15">
        <f t="shared" si="18"/>
        <v>0.03</v>
      </c>
      <c r="AE15">
        <f t="shared" si="18"/>
        <v>3.5799999999999998E-2</v>
      </c>
      <c r="AF15">
        <f t="shared" si="18"/>
        <v>3.1E-2</v>
      </c>
      <c r="AG15">
        <f t="shared" si="18"/>
        <v>3.04E-2</v>
      </c>
      <c r="AH15">
        <f t="shared" si="18"/>
        <v>3.0499999999999999E-2</v>
      </c>
      <c r="AI15">
        <f t="shared" si="18"/>
        <v>2.92E-2</v>
      </c>
      <c r="AJ15">
        <f t="shared" si="18"/>
        <v>3.0700000000000002E-2</v>
      </c>
      <c r="AK15">
        <f t="shared" si="18"/>
        <v>3.3700000000000001E-2</v>
      </c>
      <c r="AL15">
        <f t="shared" si="18"/>
        <v>7.0800000000000002E-2</v>
      </c>
      <c r="AM15">
        <f t="shared" si="18"/>
        <v>8.5900000000000004E-2</v>
      </c>
      <c r="AN15">
        <f t="shared" si="18"/>
        <v>8.3799999999999999E-2</v>
      </c>
      <c r="AO15">
        <f t="shared" si="18"/>
        <v>0.1736</v>
      </c>
    </row>
    <row r="16" spans="1:41" x14ac:dyDescent="0.25">
      <c r="A16" s="2">
        <f t="shared" si="0"/>
        <v>19</v>
      </c>
      <c r="B16" s="2">
        <v>22</v>
      </c>
      <c r="C16" s="3">
        <v>19</v>
      </c>
      <c r="D16">
        <v>0</v>
      </c>
      <c r="E16">
        <f t="shared" si="1"/>
        <v>2.2000000000000001E-3</v>
      </c>
      <c r="F16">
        <f t="shared" si="1"/>
        <v>5.8999999999999999E-3</v>
      </c>
      <c r="G16">
        <f t="shared" si="1"/>
        <v>8.3000000000000001E-3</v>
      </c>
      <c r="H16">
        <f t="shared" si="1"/>
        <v>1.06E-2</v>
      </c>
      <c r="I16">
        <f t="shared" si="1"/>
        <v>1.24E-2</v>
      </c>
      <c r="J16">
        <f t="shared" si="1"/>
        <v>1.1900000000000001E-2</v>
      </c>
      <c r="K16">
        <f t="shared" si="1"/>
        <v>1.03E-2</v>
      </c>
      <c r="L16">
        <f t="shared" si="1"/>
        <v>1.1299999999999999E-2</v>
      </c>
      <c r="M16">
        <f t="shared" si="1"/>
        <v>1.24E-2</v>
      </c>
      <c r="N16">
        <f t="shared" si="1"/>
        <v>1.2200000000000001E-2</v>
      </c>
      <c r="O16">
        <f t="shared" si="1"/>
        <v>1.1299999999999999E-2</v>
      </c>
      <c r="P16">
        <f t="shared" si="1"/>
        <v>1.12E-2</v>
      </c>
      <c r="Q16">
        <f t="shared" si="1"/>
        <v>8.5000000000000006E-3</v>
      </c>
      <c r="R16">
        <f t="shared" si="1"/>
        <v>9.7000000000000003E-3</v>
      </c>
      <c r="S16">
        <f t="shared" si="1"/>
        <v>1.01E-2</v>
      </c>
      <c r="T16">
        <f t="shared" si="1"/>
        <v>1.26E-2</v>
      </c>
      <c r="U16">
        <f t="shared" si="1"/>
        <v>1.1599999999999999E-2</v>
      </c>
      <c r="V16">
        <f t="shared" si="1"/>
        <v>1.5100000000000001E-2</v>
      </c>
      <c r="W16">
        <f t="shared" si="1"/>
        <v>1.66E-2</v>
      </c>
      <c r="X16">
        <f t="shared" ref="X16:AA16" si="19">ABS(X54)</f>
        <v>1.5699999999999999E-2</v>
      </c>
      <c r="Y16">
        <f t="shared" si="19"/>
        <v>2.29E-2</v>
      </c>
      <c r="Z16">
        <f t="shared" si="19"/>
        <v>2.6200000000000001E-2</v>
      </c>
      <c r="AA16">
        <f t="shared" si="19"/>
        <v>3.1899999999999998E-2</v>
      </c>
      <c r="AB16">
        <v>3.1899999999999998E-2</v>
      </c>
      <c r="AC16">
        <f t="shared" ref="AC16:AO16" si="20">ABS(AC54)</f>
        <v>3.44E-2</v>
      </c>
      <c r="AD16">
        <f t="shared" si="20"/>
        <v>2.8000000000000001E-2</v>
      </c>
      <c r="AE16">
        <f t="shared" si="20"/>
        <v>3.49E-2</v>
      </c>
      <c r="AF16">
        <f t="shared" si="20"/>
        <v>3.2500000000000001E-2</v>
      </c>
      <c r="AG16">
        <f t="shared" si="20"/>
        <v>3.2399999999999998E-2</v>
      </c>
      <c r="AH16">
        <f t="shared" si="20"/>
        <v>3.2800000000000003E-2</v>
      </c>
      <c r="AI16">
        <f t="shared" si="20"/>
        <v>3.1699999999999999E-2</v>
      </c>
      <c r="AJ16">
        <f t="shared" si="20"/>
        <v>3.2399999999999998E-2</v>
      </c>
      <c r="AK16">
        <f t="shared" si="20"/>
        <v>3.61E-2</v>
      </c>
      <c r="AL16">
        <f t="shared" si="20"/>
        <v>3.3700000000000001E-2</v>
      </c>
      <c r="AM16">
        <f t="shared" si="20"/>
        <v>4.8599999999999997E-2</v>
      </c>
      <c r="AN16">
        <f t="shared" si="20"/>
        <v>4.7399999999999998E-2</v>
      </c>
      <c r="AO16">
        <f t="shared" si="20"/>
        <v>0.12709999999999999</v>
      </c>
    </row>
    <row r="17" spans="1:41" x14ac:dyDescent="0.25">
      <c r="A17" s="2">
        <f t="shared" si="0"/>
        <v>21</v>
      </c>
      <c r="B17" s="2">
        <v>24</v>
      </c>
      <c r="C17" s="3">
        <v>21</v>
      </c>
      <c r="D17">
        <v>0</v>
      </c>
      <c r="E17">
        <f t="shared" si="1"/>
        <v>1.1000000000000001E-3</v>
      </c>
      <c r="F17">
        <f t="shared" si="1"/>
        <v>3.3999999999999998E-3</v>
      </c>
      <c r="G17">
        <f t="shared" si="1"/>
        <v>4.7999999999999996E-3</v>
      </c>
      <c r="H17">
        <f t="shared" si="1"/>
        <v>6.6E-3</v>
      </c>
      <c r="I17">
        <f t="shared" si="1"/>
        <v>7.7000000000000002E-3</v>
      </c>
      <c r="J17">
        <f t="shared" si="1"/>
        <v>7.9000000000000008E-3</v>
      </c>
      <c r="K17">
        <f t="shared" si="1"/>
        <v>6.4000000000000003E-3</v>
      </c>
      <c r="L17">
        <f t="shared" si="1"/>
        <v>7.1999999999999998E-3</v>
      </c>
      <c r="M17">
        <f t="shared" si="1"/>
        <v>7.9000000000000008E-3</v>
      </c>
      <c r="N17">
        <f t="shared" si="1"/>
        <v>8.0000000000000002E-3</v>
      </c>
      <c r="O17">
        <f t="shared" si="1"/>
        <v>7.1999999999999998E-3</v>
      </c>
      <c r="P17">
        <f t="shared" si="1"/>
        <v>7.1000000000000004E-3</v>
      </c>
      <c r="Q17">
        <f t="shared" si="1"/>
        <v>5.4000000000000003E-3</v>
      </c>
      <c r="R17">
        <f t="shared" si="1"/>
        <v>6.1000000000000004E-3</v>
      </c>
      <c r="S17">
        <f t="shared" si="1"/>
        <v>6.6E-3</v>
      </c>
      <c r="T17">
        <f t="shared" si="1"/>
        <v>7.3000000000000001E-3</v>
      </c>
      <c r="U17">
        <f t="shared" si="1"/>
        <v>7.1000000000000004E-3</v>
      </c>
      <c r="V17">
        <f t="shared" si="1"/>
        <v>8.9999999999999993E-3</v>
      </c>
      <c r="W17">
        <f t="shared" si="1"/>
        <v>9.4000000000000004E-3</v>
      </c>
      <c r="X17">
        <f t="shared" ref="X17:AA17" si="21">ABS(X55)</f>
        <v>6.4999999999999997E-3</v>
      </c>
      <c r="Y17">
        <f t="shared" si="21"/>
        <v>1.2500000000000001E-2</v>
      </c>
      <c r="Z17">
        <f t="shared" si="21"/>
        <v>1.4800000000000001E-2</v>
      </c>
      <c r="AA17">
        <f t="shared" si="21"/>
        <v>1.78E-2</v>
      </c>
      <c r="AB17">
        <v>1.78E-2</v>
      </c>
      <c r="AC17">
        <f t="shared" ref="AC17:AO17" si="22">ABS(AC55)</f>
        <v>2.0199999999999999E-2</v>
      </c>
      <c r="AD17">
        <f t="shared" si="22"/>
        <v>1.37E-2</v>
      </c>
      <c r="AE17">
        <f t="shared" si="22"/>
        <v>2.1499999999999998E-2</v>
      </c>
      <c r="AF17">
        <f t="shared" si="22"/>
        <v>2.0500000000000001E-2</v>
      </c>
      <c r="AG17">
        <f t="shared" si="22"/>
        <v>2.0400000000000001E-2</v>
      </c>
      <c r="AH17">
        <f t="shared" si="22"/>
        <v>2.0899999999999998E-2</v>
      </c>
      <c r="AI17">
        <f t="shared" si="22"/>
        <v>2.0299999999999999E-2</v>
      </c>
      <c r="AJ17">
        <f t="shared" si="22"/>
        <v>2.0899999999999998E-2</v>
      </c>
      <c r="AK17">
        <f t="shared" si="22"/>
        <v>2.3300000000000001E-2</v>
      </c>
      <c r="AL17">
        <f t="shared" si="22"/>
        <v>1.0999999999999999E-2</v>
      </c>
      <c r="AM17">
        <f t="shared" si="22"/>
        <v>1.7999999999999999E-2</v>
      </c>
      <c r="AN17">
        <f t="shared" si="22"/>
        <v>1.8200000000000001E-2</v>
      </c>
      <c r="AO17">
        <f t="shared" si="22"/>
        <v>6.1699999999999998E-2</v>
      </c>
    </row>
    <row r="18" spans="1:41" s="5" customFormat="1" x14ac:dyDescent="0.25">
      <c r="A18" s="4"/>
      <c r="B18" s="4"/>
      <c r="C18" s="4"/>
      <c r="D18">
        <f>AVERAGE(D6:D17)</f>
        <v>0</v>
      </c>
      <c r="E18">
        <f t="shared" ref="E18:S18" si="23">AVERAGE(E6:E17)</f>
        <v>8.0000000000000002E-3</v>
      </c>
      <c r="F18">
        <f t="shared" si="23"/>
        <v>8.3272727272727266E-3</v>
      </c>
      <c r="G18">
        <f t="shared" si="23"/>
        <v>1.1918181818181817E-2</v>
      </c>
      <c r="H18">
        <f t="shared" si="23"/>
        <v>1.1009090909090908E-2</v>
      </c>
      <c r="I18">
        <f t="shared" si="23"/>
        <v>8.2454545454545454E-3</v>
      </c>
      <c r="J18">
        <f t="shared" si="23"/>
        <v>9.745454545454545E-3</v>
      </c>
      <c r="K18">
        <f t="shared" si="23"/>
        <v>9.2545454545454563E-3</v>
      </c>
      <c r="L18">
        <f t="shared" si="23"/>
        <v>9.0727272727272722E-3</v>
      </c>
      <c r="M18">
        <f t="shared" si="23"/>
        <v>1.0509090909090907E-2</v>
      </c>
      <c r="N18">
        <f t="shared" si="23"/>
        <v>7.7181818181818185E-3</v>
      </c>
      <c r="O18">
        <f t="shared" si="23"/>
        <v>9.981818181818182E-3</v>
      </c>
      <c r="P18">
        <f t="shared" si="23"/>
        <v>8.7090909090909094E-3</v>
      </c>
      <c r="Q18">
        <f t="shared" si="23"/>
        <v>7.5636363636363644E-3</v>
      </c>
      <c r="R18">
        <f t="shared" si="23"/>
        <v>9.6727272727272738E-3</v>
      </c>
      <c r="S18">
        <f t="shared" si="23"/>
        <v>1.4472727272727271E-2</v>
      </c>
      <c r="W18">
        <f t="shared" si="1"/>
        <v>0</v>
      </c>
      <c r="AA18">
        <f t="shared" ref="AA18:AB18" si="24">ABS(AA56)</f>
        <v>0</v>
      </c>
      <c r="AB18">
        <f t="shared" si="24"/>
        <v>0</v>
      </c>
      <c r="AF18">
        <f t="shared" ref="AF18:AG18" si="25">ABS(AF56)</f>
        <v>0</v>
      </c>
      <c r="AG18">
        <f t="shared" si="25"/>
        <v>0</v>
      </c>
    </row>
    <row r="19" spans="1:41" s="5" customFormat="1" x14ac:dyDescent="0.25">
      <c r="A19" s="4"/>
      <c r="B19" s="4"/>
      <c r="C19" s="4"/>
      <c r="D19" s="6">
        <f>D18*-1</f>
        <v>0</v>
      </c>
      <c r="E19" s="6">
        <f t="shared" ref="E19:L19" si="26">E18*-1</f>
        <v>-8.0000000000000002E-3</v>
      </c>
      <c r="F19" s="6">
        <f t="shared" si="26"/>
        <v>-8.3272727272727266E-3</v>
      </c>
      <c r="G19" s="6">
        <f t="shared" si="26"/>
        <v>-1.1918181818181817E-2</v>
      </c>
      <c r="H19" s="6">
        <f t="shared" si="26"/>
        <v>-1.1009090909090908E-2</v>
      </c>
      <c r="I19" s="6">
        <f t="shared" si="26"/>
        <v>-8.2454545454545454E-3</v>
      </c>
      <c r="J19" s="6">
        <f t="shared" si="26"/>
        <v>-9.745454545454545E-3</v>
      </c>
      <c r="K19" s="6">
        <f t="shared" si="26"/>
        <v>-9.2545454545454563E-3</v>
      </c>
      <c r="L19" s="6">
        <f t="shared" si="26"/>
        <v>-9.0727272727272722E-3</v>
      </c>
      <c r="M19" s="6">
        <f>M18*-1</f>
        <v>-1.0509090909090907E-2</v>
      </c>
      <c r="N19" s="6">
        <f t="shared" ref="N19:S19" si="27">N18*-1</f>
        <v>-7.7181818181818185E-3</v>
      </c>
      <c r="O19" s="6">
        <f t="shared" si="27"/>
        <v>-9.981818181818182E-3</v>
      </c>
      <c r="P19" s="6">
        <f t="shared" si="27"/>
        <v>-8.7090909090909094E-3</v>
      </c>
      <c r="Q19" s="6">
        <f t="shared" si="27"/>
        <v>-7.5636363636363644E-3</v>
      </c>
      <c r="R19" s="6">
        <f t="shared" si="27"/>
        <v>-9.6727272727272738E-3</v>
      </c>
      <c r="S19" s="6">
        <f t="shared" si="27"/>
        <v>-1.4472727272727271E-2</v>
      </c>
      <c r="W19">
        <f t="shared" si="1"/>
        <v>0</v>
      </c>
      <c r="AA19">
        <f t="shared" ref="AA19:AB19" si="28">ABS(AA57)</f>
        <v>0</v>
      </c>
      <c r="AB19">
        <f t="shared" si="28"/>
        <v>0</v>
      </c>
      <c r="AF19">
        <f t="shared" ref="AF19:AG19" si="29">ABS(AF57)</f>
        <v>0</v>
      </c>
      <c r="AG19">
        <f t="shared" si="29"/>
        <v>0</v>
      </c>
    </row>
    <row r="20" spans="1:41" s="5" customFormat="1" x14ac:dyDescent="0.25">
      <c r="A20" s="4"/>
      <c r="B20" s="4"/>
      <c r="C20" s="4"/>
    </row>
    <row r="21" spans="1:41" x14ac:dyDescent="0.25">
      <c r="A21" s="2"/>
      <c r="B21" s="2"/>
      <c r="C21" s="4"/>
    </row>
    <row r="22" spans="1:41" x14ac:dyDescent="0.25">
      <c r="A22" s="2"/>
      <c r="B22" s="2"/>
      <c r="C22" s="4"/>
    </row>
    <row r="23" spans="1:41" x14ac:dyDescent="0.25">
      <c r="A23" s="2"/>
      <c r="B23" s="2"/>
      <c r="C23" s="4"/>
    </row>
    <row r="24" spans="1:41" x14ac:dyDescent="0.25">
      <c r="A24" s="2"/>
      <c r="B24" s="2"/>
      <c r="C24" s="4"/>
      <c r="G24" t="s">
        <v>8</v>
      </c>
    </row>
    <row r="25" spans="1:41" x14ac:dyDescent="0.25">
      <c r="C25" t="s">
        <v>2</v>
      </c>
      <c r="D25" t="s">
        <v>0</v>
      </c>
      <c r="E25" t="s">
        <v>3</v>
      </c>
      <c r="F25" t="s">
        <v>4</v>
      </c>
    </row>
    <row r="26" spans="1:41" x14ac:dyDescent="0.25">
      <c r="C26" t="s">
        <v>5</v>
      </c>
      <c r="D26" s="1">
        <v>43379</v>
      </c>
      <c r="E26" s="1">
        <v>43404</v>
      </c>
      <c r="F26" s="1">
        <v>43417</v>
      </c>
      <c r="G26" s="1">
        <v>43439</v>
      </c>
      <c r="H26" s="1">
        <v>43452</v>
      </c>
      <c r="I26" s="1">
        <v>43470</v>
      </c>
      <c r="J26" s="1">
        <v>43486</v>
      </c>
      <c r="K26" s="1">
        <v>43502</v>
      </c>
      <c r="L26" s="1">
        <v>43521</v>
      </c>
      <c r="M26" s="1">
        <v>43537</v>
      </c>
      <c r="N26" s="1">
        <v>43556</v>
      </c>
      <c r="O26" s="1">
        <v>43565</v>
      </c>
      <c r="P26" s="1">
        <v>43579</v>
      </c>
      <c r="Q26" s="1">
        <v>43600</v>
      </c>
      <c r="R26" s="1">
        <v>43614</v>
      </c>
      <c r="S26" s="1">
        <v>43628</v>
      </c>
      <c r="T26" s="1">
        <v>43654</v>
      </c>
      <c r="U26" s="1">
        <v>43670</v>
      </c>
      <c r="V26" s="1">
        <v>43693</v>
      </c>
      <c r="W26" s="1">
        <v>43707</v>
      </c>
      <c r="X26" s="1">
        <v>43733</v>
      </c>
      <c r="Y26" s="1">
        <v>43748</v>
      </c>
      <c r="Z26" s="1">
        <v>43770</v>
      </c>
      <c r="AA26" s="1">
        <v>43790</v>
      </c>
      <c r="AB26" s="1">
        <v>43806</v>
      </c>
      <c r="AC26" s="1">
        <v>43817</v>
      </c>
      <c r="AD26" s="1">
        <v>43839</v>
      </c>
      <c r="AE26" s="1">
        <v>43869</v>
      </c>
      <c r="AF26" s="1">
        <v>43902</v>
      </c>
      <c r="AG26" s="1">
        <v>43924</v>
      </c>
      <c r="AH26" s="9">
        <v>43953</v>
      </c>
      <c r="AI26" s="9">
        <v>43982</v>
      </c>
      <c r="AJ26" s="9">
        <v>44024</v>
      </c>
      <c r="AK26" s="1">
        <v>44078</v>
      </c>
      <c r="AL26" s="1">
        <v>44138</v>
      </c>
      <c r="AM26" s="1">
        <v>44231</v>
      </c>
      <c r="AN26" s="1">
        <v>44355</v>
      </c>
      <c r="AO26" s="1">
        <v>44613</v>
      </c>
    </row>
    <row r="27" spans="1:41" x14ac:dyDescent="0.25">
      <c r="A27" s="2">
        <f>B27-3</f>
        <v>-1</v>
      </c>
      <c r="B27" s="2">
        <v>2</v>
      </c>
      <c r="C27" s="3">
        <v>1</v>
      </c>
    </row>
    <row r="28" spans="1:41" x14ac:dyDescent="0.25">
      <c r="A28" s="2">
        <f t="shared" ref="A28:A38" si="30">B28-3</f>
        <v>1</v>
      </c>
      <c r="B28" s="2">
        <v>4</v>
      </c>
      <c r="C28" s="3">
        <v>1</v>
      </c>
      <c r="D28">
        <v>0</v>
      </c>
      <c r="E28">
        <f t="shared" ref="E28:X38" si="31">ABS(E60)</f>
        <v>1.8E-3</v>
      </c>
      <c r="F28">
        <f t="shared" si="31"/>
        <v>1.52E-2</v>
      </c>
      <c r="G28">
        <f t="shared" si="31"/>
        <v>1.21E-2</v>
      </c>
      <c r="H28">
        <f t="shared" si="31"/>
        <v>9.4999999999999998E-3</v>
      </c>
      <c r="I28">
        <f t="shared" si="31"/>
        <v>2.8E-3</v>
      </c>
      <c r="J28">
        <f t="shared" si="31"/>
        <v>9.7999999999999997E-3</v>
      </c>
      <c r="K28">
        <f t="shared" si="31"/>
        <v>4.1999999999999997E-3</v>
      </c>
      <c r="L28">
        <f t="shared" si="31"/>
        <v>3.5000000000000001E-3</v>
      </c>
      <c r="M28">
        <f t="shared" si="31"/>
        <v>5.9999999999999995E-4</v>
      </c>
      <c r="N28">
        <f t="shared" si="31"/>
        <v>1E-4</v>
      </c>
      <c r="O28">
        <f t="shared" si="31"/>
        <v>1.2E-2</v>
      </c>
      <c r="P28">
        <f t="shared" si="31"/>
        <v>1.3299999999999999E-2</v>
      </c>
      <c r="Q28">
        <f t="shared" si="31"/>
        <v>1.8100000000000002E-2</v>
      </c>
      <c r="R28">
        <f t="shared" si="31"/>
        <v>3.4299999999999997E-2</v>
      </c>
      <c r="S28">
        <f t="shared" si="31"/>
        <v>3.6600000000000001E-2</v>
      </c>
      <c r="T28">
        <f t="shared" si="31"/>
        <v>2.93E-2</v>
      </c>
      <c r="U28">
        <f t="shared" si="31"/>
        <v>3.9399999999999998E-2</v>
      </c>
      <c r="V28">
        <f t="shared" si="31"/>
        <v>3.1800000000000002E-2</v>
      </c>
      <c r="W28">
        <f t="shared" si="31"/>
        <v>6.4399999999999999E-2</v>
      </c>
      <c r="X28">
        <f t="shared" si="31"/>
        <v>5.8200000000000002E-2</v>
      </c>
      <c r="Y28">
        <f t="shared" ref="Y28:AO28" si="32">ABS(Y60)</f>
        <v>5.2400000000000002E-2</v>
      </c>
      <c r="Z28">
        <f t="shared" si="32"/>
        <v>0.1462</v>
      </c>
      <c r="AA28">
        <f t="shared" si="32"/>
        <v>0.1404</v>
      </c>
      <c r="AB28">
        <v>0.1404</v>
      </c>
      <c r="AC28">
        <f t="shared" si="32"/>
        <v>0.1404</v>
      </c>
      <c r="AD28">
        <f t="shared" si="32"/>
        <v>0.1404</v>
      </c>
      <c r="AE28">
        <f t="shared" si="32"/>
        <v>0.1404</v>
      </c>
      <c r="AF28">
        <f t="shared" si="32"/>
        <v>0.12959999999999999</v>
      </c>
      <c r="AG28">
        <f t="shared" si="32"/>
        <v>0.13800000000000001</v>
      </c>
      <c r="AH28">
        <f t="shared" si="32"/>
        <v>0.13150000000000001</v>
      </c>
      <c r="AI28">
        <f t="shared" si="32"/>
        <v>0.13200000000000001</v>
      </c>
      <c r="AJ28">
        <f t="shared" si="32"/>
        <v>0.15040000000000001</v>
      </c>
      <c r="AK28">
        <f t="shared" si="32"/>
        <v>0.17080000000000001</v>
      </c>
      <c r="AL28">
        <f t="shared" si="32"/>
        <v>0.59330000000000005</v>
      </c>
      <c r="AM28">
        <f t="shared" si="32"/>
        <v>0.57830000000000004</v>
      </c>
      <c r="AN28">
        <f t="shared" si="32"/>
        <v>0.58069999999999999</v>
      </c>
      <c r="AO28">
        <f t="shared" si="32"/>
        <v>0.70730000000000004</v>
      </c>
    </row>
    <row r="29" spans="1:41" x14ac:dyDescent="0.25">
      <c r="A29" s="2">
        <f t="shared" si="30"/>
        <v>3</v>
      </c>
      <c r="B29" s="2">
        <v>6</v>
      </c>
      <c r="C29" s="3">
        <v>3</v>
      </c>
      <c r="D29">
        <v>0</v>
      </c>
      <c r="E29">
        <f t="shared" si="31"/>
        <v>1.8E-3</v>
      </c>
      <c r="F29">
        <f t="shared" si="31"/>
        <v>6.7000000000000002E-3</v>
      </c>
      <c r="G29">
        <f t="shared" si="31"/>
        <v>7.1999999999999998E-3</v>
      </c>
      <c r="H29">
        <f t="shared" si="31"/>
        <v>1.2E-2</v>
      </c>
      <c r="I29">
        <f t="shared" si="31"/>
        <v>5.4999999999999997E-3</v>
      </c>
      <c r="J29">
        <f t="shared" si="31"/>
        <v>6.6E-3</v>
      </c>
      <c r="K29">
        <f t="shared" si="31"/>
        <v>2.5000000000000001E-3</v>
      </c>
      <c r="L29">
        <f t="shared" si="31"/>
        <v>4.7000000000000002E-3</v>
      </c>
      <c r="M29">
        <f t="shared" si="31"/>
        <v>3.0999999999999999E-3</v>
      </c>
      <c r="N29">
        <f t="shared" si="31"/>
        <v>3.8E-3</v>
      </c>
      <c r="O29">
        <f t="shared" si="31"/>
        <v>1.3599999999999999E-2</v>
      </c>
      <c r="P29">
        <f t="shared" si="31"/>
        <v>1.32E-2</v>
      </c>
      <c r="Q29">
        <f t="shared" si="31"/>
        <v>1.66E-2</v>
      </c>
      <c r="R29">
        <f t="shared" si="31"/>
        <v>2.9399999999999999E-2</v>
      </c>
      <c r="S29">
        <f t="shared" si="31"/>
        <v>2.9600000000000001E-2</v>
      </c>
      <c r="T29">
        <f t="shared" si="31"/>
        <v>2.5999999999999999E-2</v>
      </c>
      <c r="U29">
        <f t="shared" si="31"/>
        <v>1.9199999999999998E-2</v>
      </c>
      <c r="V29">
        <f t="shared" si="31"/>
        <v>2.6800000000000001E-2</v>
      </c>
      <c r="W29">
        <f t="shared" si="31"/>
        <v>3.8899999999999997E-2</v>
      </c>
      <c r="X29">
        <f t="shared" ref="X29:AA29" si="33">ABS(X61)</f>
        <v>5.04E-2</v>
      </c>
      <c r="Y29">
        <f t="shared" si="33"/>
        <v>3.2599999999999997E-2</v>
      </c>
      <c r="Z29">
        <f t="shared" si="33"/>
        <v>2.81E-2</v>
      </c>
      <c r="AA29">
        <f t="shared" si="33"/>
        <v>3.49E-2</v>
      </c>
      <c r="AB29">
        <v>3.49E-2</v>
      </c>
      <c r="AC29">
        <f t="shared" ref="AC29:AO29" si="34">ABS(AC61)</f>
        <v>6.83E-2</v>
      </c>
      <c r="AD29">
        <f t="shared" si="34"/>
        <v>5.7099999999999998E-2</v>
      </c>
      <c r="AE29">
        <f t="shared" si="34"/>
        <v>6.13E-2</v>
      </c>
      <c r="AF29">
        <f t="shared" si="34"/>
        <v>3.9E-2</v>
      </c>
      <c r="AG29">
        <f t="shared" si="34"/>
        <v>5.3499999999999999E-2</v>
      </c>
      <c r="AH29">
        <f t="shared" si="34"/>
        <v>5.4600000000000003E-2</v>
      </c>
      <c r="AI29">
        <f t="shared" si="34"/>
        <v>7.0300000000000001E-2</v>
      </c>
      <c r="AJ29">
        <f t="shared" si="34"/>
        <v>7.8700000000000006E-2</v>
      </c>
      <c r="AK29">
        <f t="shared" si="34"/>
        <v>9.1899999999999996E-2</v>
      </c>
      <c r="AL29">
        <f t="shared" si="34"/>
        <v>0.35160000000000002</v>
      </c>
      <c r="AM29">
        <f t="shared" si="34"/>
        <v>0.3493</v>
      </c>
      <c r="AN29">
        <f t="shared" si="34"/>
        <v>0.34239999999999998</v>
      </c>
      <c r="AO29">
        <f t="shared" si="34"/>
        <v>0.47270000000000001</v>
      </c>
    </row>
    <row r="30" spans="1:41" x14ac:dyDescent="0.25">
      <c r="A30" s="2">
        <f t="shared" si="30"/>
        <v>5</v>
      </c>
      <c r="B30" s="2">
        <v>8</v>
      </c>
      <c r="C30" s="3">
        <v>5</v>
      </c>
      <c r="D30">
        <v>0</v>
      </c>
      <c r="E30">
        <f t="shared" si="31"/>
        <v>4.1999999999999997E-3</v>
      </c>
      <c r="F30">
        <f t="shared" si="31"/>
        <v>3.7000000000000002E-3</v>
      </c>
      <c r="G30">
        <f t="shared" si="31"/>
        <v>5.1999999999999998E-3</v>
      </c>
      <c r="H30">
        <f t="shared" si="31"/>
        <v>6.6E-3</v>
      </c>
      <c r="I30">
        <f t="shared" si="31"/>
        <v>4.1000000000000003E-3</v>
      </c>
      <c r="J30">
        <f t="shared" si="31"/>
        <v>6.4999999999999997E-3</v>
      </c>
      <c r="K30">
        <f t="shared" si="31"/>
        <v>1.4E-3</v>
      </c>
      <c r="L30">
        <f t="shared" si="31"/>
        <v>2.5000000000000001E-3</v>
      </c>
      <c r="M30">
        <f t="shared" si="31"/>
        <v>5.8999999999999999E-3</v>
      </c>
      <c r="N30">
        <f t="shared" si="31"/>
        <v>3.3999999999999998E-3</v>
      </c>
      <c r="O30">
        <f t="shared" si="31"/>
        <v>9.7000000000000003E-3</v>
      </c>
      <c r="P30">
        <f t="shared" si="31"/>
        <v>1.0699999999999999E-2</v>
      </c>
      <c r="Q30">
        <f t="shared" si="31"/>
        <v>1.4E-2</v>
      </c>
      <c r="R30">
        <f t="shared" si="31"/>
        <v>2.24E-2</v>
      </c>
      <c r="S30">
        <f t="shared" si="31"/>
        <v>2.5700000000000001E-2</v>
      </c>
      <c r="T30">
        <f t="shared" si="31"/>
        <v>2.2599999999999999E-2</v>
      </c>
      <c r="U30">
        <f t="shared" si="31"/>
        <v>1.9300000000000001E-2</v>
      </c>
      <c r="V30">
        <f t="shared" si="31"/>
        <v>2.1399999999999999E-2</v>
      </c>
      <c r="W30">
        <f t="shared" si="31"/>
        <v>3.2000000000000001E-2</v>
      </c>
      <c r="X30">
        <f t="shared" ref="X30:AA30" si="35">ABS(X62)</f>
        <v>4.4200000000000003E-2</v>
      </c>
      <c r="Y30">
        <f t="shared" si="35"/>
        <v>2.98E-2</v>
      </c>
      <c r="Z30">
        <f t="shared" si="35"/>
        <v>2.6599999999999999E-2</v>
      </c>
      <c r="AA30">
        <f t="shared" si="35"/>
        <v>3.0499999999999999E-2</v>
      </c>
      <c r="AB30">
        <v>3.0499999999999999E-2</v>
      </c>
      <c r="AC30">
        <f t="shared" ref="AC30:AO30" si="36">ABS(AC62)</f>
        <v>4.5600000000000002E-2</v>
      </c>
      <c r="AD30">
        <f t="shared" si="36"/>
        <v>3.3599999999999998E-2</v>
      </c>
      <c r="AE30">
        <f t="shared" si="36"/>
        <v>3.7900000000000003E-2</v>
      </c>
      <c r="AF30">
        <f t="shared" si="36"/>
        <v>3.1800000000000002E-2</v>
      </c>
      <c r="AG30">
        <f t="shared" si="36"/>
        <v>4.3299999999999998E-2</v>
      </c>
      <c r="AH30">
        <f t="shared" si="36"/>
        <v>4.3999999999999997E-2</v>
      </c>
      <c r="AI30">
        <f t="shared" si="36"/>
        <v>5.8200000000000002E-2</v>
      </c>
      <c r="AJ30">
        <f t="shared" si="36"/>
        <v>6.7799999999999999E-2</v>
      </c>
      <c r="AK30">
        <f t="shared" si="36"/>
        <v>7.8200000000000006E-2</v>
      </c>
      <c r="AL30">
        <f t="shared" si="36"/>
        <v>0.1474</v>
      </c>
      <c r="AM30">
        <f t="shared" si="36"/>
        <v>0.15290000000000001</v>
      </c>
      <c r="AN30">
        <f t="shared" si="36"/>
        <v>0.1414</v>
      </c>
      <c r="AO30">
        <f t="shared" si="36"/>
        <v>0.27360000000000001</v>
      </c>
    </row>
    <row r="31" spans="1:41" x14ac:dyDescent="0.25">
      <c r="A31" s="2">
        <f t="shared" si="30"/>
        <v>7</v>
      </c>
      <c r="B31" s="2">
        <v>10</v>
      </c>
      <c r="C31" s="3">
        <v>7</v>
      </c>
      <c r="D31">
        <v>0</v>
      </c>
      <c r="E31">
        <f t="shared" si="31"/>
        <v>4.1999999999999997E-3</v>
      </c>
      <c r="F31">
        <f t="shared" si="31"/>
        <v>3.0000000000000001E-3</v>
      </c>
      <c r="G31">
        <f t="shared" si="31"/>
        <v>4.1000000000000003E-3</v>
      </c>
      <c r="H31">
        <f t="shared" si="31"/>
        <v>4.7999999999999996E-3</v>
      </c>
      <c r="I31">
        <f t="shared" si="31"/>
        <v>3.7000000000000002E-3</v>
      </c>
      <c r="J31">
        <f t="shared" si="31"/>
        <v>5.8999999999999999E-3</v>
      </c>
      <c r="K31">
        <f t="shared" si="31"/>
        <v>2.8E-3</v>
      </c>
      <c r="L31">
        <f t="shared" si="31"/>
        <v>3.7000000000000002E-3</v>
      </c>
      <c r="M31">
        <f t="shared" si="31"/>
        <v>4.1000000000000003E-3</v>
      </c>
      <c r="N31">
        <f t="shared" si="31"/>
        <v>3.7000000000000002E-3</v>
      </c>
      <c r="O31">
        <f t="shared" si="31"/>
        <v>0.01</v>
      </c>
      <c r="P31">
        <f t="shared" si="31"/>
        <v>1.0699999999999999E-2</v>
      </c>
      <c r="Q31">
        <f t="shared" si="31"/>
        <v>1.44E-2</v>
      </c>
      <c r="R31">
        <f t="shared" si="31"/>
        <v>2.0199999999999999E-2</v>
      </c>
      <c r="S31">
        <f t="shared" si="31"/>
        <v>2.4E-2</v>
      </c>
      <c r="T31">
        <f t="shared" si="31"/>
        <v>2.3199999999999998E-2</v>
      </c>
      <c r="U31">
        <f t="shared" si="31"/>
        <v>1.8599999999999998E-2</v>
      </c>
      <c r="V31">
        <f t="shared" si="31"/>
        <v>1.8499999999999999E-2</v>
      </c>
      <c r="W31">
        <f t="shared" si="31"/>
        <v>3.04E-2</v>
      </c>
      <c r="X31">
        <f t="shared" ref="X31:AA31" si="37">ABS(X63)</f>
        <v>4.2099999999999999E-2</v>
      </c>
      <c r="Y31">
        <f t="shared" si="37"/>
        <v>2.7400000000000001E-2</v>
      </c>
      <c r="Z31">
        <f t="shared" si="37"/>
        <v>2.3E-2</v>
      </c>
      <c r="AA31">
        <f t="shared" si="37"/>
        <v>2.75E-2</v>
      </c>
      <c r="AB31">
        <v>2.75E-2</v>
      </c>
      <c r="AC31">
        <f t="shared" ref="AC31:AO31" si="38">ABS(AC63)</f>
        <v>4.1599999999999998E-2</v>
      </c>
      <c r="AD31">
        <f t="shared" si="38"/>
        <v>3.0499999999999999E-2</v>
      </c>
      <c r="AE31">
        <f t="shared" si="38"/>
        <v>3.3599999999999998E-2</v>
      </c>
      <c r="AF31">
        <f t="shared" si="38"/>
        <v>2.4799999999999999E-2</v>
      </c>
      <c r="AG31">
        <f t="shared" si="38"/>
        <v>3.5799999999999998E-2</v>
      </c>
      <c r="AH31">
        <f t="shared" si="38"/>
        <v>3.6600000000000001E-2</v>
      </c>
      <c r="AI31">
        <f t="shared" si="38"/>
        <v>4.8000000000000001E-2</v>
      </c>
      <c r="AJ31">
        <f t="shared" si="38"/>
        <v>5.8299999999999998E-2</v>
      </c>
      <c r="AK31">
        <f t="shared" si="38"/>
        <v>6.6400000000000001E-2</v>
      </c>
      <c r="AL31">
        <f t="shared" si="38"/>
        <v>6.9599999999999995E-2</v>
      </c>
      <c r="AM31">
        <f t="shared" si="38"/>
        <v>7.4800000000000005E-2</v>
      </c>
      <c r="AN31">
        <f t="shared" si="38"/>
        <v>6.2E-2</v>
      </c>
      <c r="AO31">
        <f t="shared" si="38"/>
        <v>0.20050000000000001</v>
      </c>
    </row>
    <row r="32" spans="1:41" x14ac:dyDescent="0.25">
      <c r="A32" s="2">
        <f t="shared" si="30"/>
        <v>9</v>
      </c>
      <c r="B32" s="2">
        <v>12</v>
      </c>
      <c r="C32" s="3">
        <v>9</v>
      </c>
      <c r="D32">
        <v>0</v>
      </c>
      <c r="E32">
        <f t="shared" si="31"/>
        <v>4.3E-3</v>
      </c>
      <c r="F32">
        <f t="shared" si="31"/>
        <v>4.7000000000000002E-3</v>
      </c>
      <c r="G32">
        <f t="shared" si="31"/>
        <v>3.7000000000000002E-3</v>
      </c>
      <c r="H32">
        <f t="shared" si="31"/>
        <v>6.1000000000000004E-3</v>
      </c>
      <c r="I32">
        <f t="shared" si="31"/>
        <v>4.7999999999999996E-3</v>
      </c>
      <c r="J32">
        <f t="shared" si="31"/>
        <v>4.8999999999999998E-3</v>
      </c>
      <c r="K32">
        <f t="shared" si="31"/>
        <v>3.5999999999999999E-3</v>
      </c>
      <c r="L32">
        <f t="shared" si="31"/>
        <v>4.8999999999999998E-3</v>
      </c>
      <c r="M32">
        <f t="shared" si="31"/>
        <v>4.3E-3</v>
      </c>
      <c r="N32">
        <f t="shared" si="31"/>
        <v>4.7000000000000002E-3</v>
      </c>
      <c r="O32">
        <f t="shared" si="31"/>
        <v>1.0699999999999999E-2</v>
      </c>
      <c r="P32">
        <f t="shared" si="31"/>
        <v>1.15E-2</v>
      </c>
      <c r="Q32">
        <f t="shared" si="31"/>
        <v>1.49E-2</v>
      </c>
      <c r="R32">
        <f t="shared" si="31"/>
        <v>1.9800000000000002E-2</v>
      </c>
      <c r="S32">
        <f t="shared" si="31"/>
        <v>2.24E-2</v>
      </c>
      <c r="T32">
        <f t="shared" si="31"/>
        <v>2.2700000000000001E-2</v>
      </c>
      <c r="U32">
        <f t="shared" si="31"/>
        <v>2.0799999999999999E-2</v>
      </c>
      <c r="V32">
        <f t="shared" si="31"/>
        <v>1.7399999999999999E-2</v>
      </c>
      <c r="W32">
        <f t="shared" si="31"/>
        <v>2.98E-2</v>
      </c>
      <c r="X32">
        <f t="shared" ref="X32:AA32" si="39">ABS(X64)</f>
        <v>4.1200000000000001E-2</v>
      </c>
      <c r="Y32">
        <f t="shared" si="39"/>
        <v>2.5399999999999999E-2</v>
      </c>
      <c r="Z32">
        <f t="shared" si="39"/>
        <v>2.1999999999999999E-2</v>
      </c>
      <c r="AA32">
        <f t="shared" si="39"/>
        <v>2.47E-2</v>
      </c>
      <c r="AB32">
        <v>2.47E-2</v>
      </c>
      <c r="AC32">
        <f t="shared" ref="AC32:AO32" si="40">ABS(AC64)</f>
        <v>4.0899999999999999E-2</v>
      </c>
      <c r="AD32">
        <f t="shared" si="40"/>
        <v>0.03</v>
      </c>
      <c r="AE32">
        <f t="shared" si="40"/>
        <v>3.3399999999999999E-2</v>
      </c>
      <c r="AF32">
        <f t="shared" si="40"/>
        <v>2.2200000000000001E-2</v>
      </c>
      <c r="AG32">
        <f t="shared" si="40"/>
        <v>3.2199999999999999E-2</v>
      </c>
      <c r="AH32">
        <f t="shared" si="40"/>
        <v>3.2899999999999999E-2</v>
      </c>
      <c r="AI32">
        <f t="shared" si="40"/>
        <v>4.3099999999999999E-2</v>
      </c>
      <c r="AJ32">
        <f t="shared" si="40"/>
        <v>5.5800000000000002E-2</v>
      </c>
      <c r="AK32">
        <f t="shared" si="40"/>
        <v>6.0400000000000002E-2</v>
      </c>
      <c r="AL32">
        <f t="shared" si="40"/>
        <v>0.13370000000000001</v>
      </c>
      <c r="AM32">
        <f t="shared" si="40"/>
        <v>0.13519999999999999</v>
      </c>
      <c r="AN32">
        <f t="shared" si="40"/>
        <v>0.12529999999999999</v>
      </c>
      <c r="AO32">
        <f t="shared" si="40"/>
        <v>0.26819999999999999</v>
      </c>
    </row>
    <row r="33" spans="1:41" x14ac:dyDescent="0.25">
      <c r="A33" s="2">
        <f t="shared" si="30"/>
        <v>11</v>
      </c>
      <c r="B33" s="2">
        <v>14</v>
      </c>
      <c r="C33" s="3">
        <v>11</v>
      </c>
      <c r="D33">
        <v>0</v>
      </c>
      <c r="E33">
        <f t="shared" si="31"/>
        <v>1.6999999999999999E-3</v>
      </c>
      <c r="F33">
        <f t="shared" si="31"/>
        <v>1.2999999999999999E-3</v>
      </c>
      <c r="G33">
        <f t="shared" si="31"/>
        <v>1E-4</v>
      </c>
      <c r="H33">
        <f t="shared" si="31"/>
        <v>3.7000000000000002E-3</v>
      </c>
      <c r="I33">
        <f t="shared" si="31"/>
        <v>1.4E-3</v>
      </c>
      <c r="J33">
        <f t="shared" si="31"/>
        <v>8.2000000000000007E-3</v>
      </c>
      <c r="K33">
        <f t="shared" si="31"/>
        <v>2E-3</v>
      </c>
      <c r="L33">
        <f t="shared" si="31"/>
        <v>1E-4</v>
      </c>
      <c r="M33">
        <f t="shared" si="31"/>
        <v>7.7000000000000002E-3</v>
      </c>
      <c r="N33">
        <f t="shared" si="31"/>
        <v>2.0000000000000001E-4</v>
      </c>
      <c r="O33">
        <f t="shared" si="31"/>
        <v>8.3000000000000001E-3</v>
      </c>
      <c r="P33">
        <f t="shared" si="31"/>
        <v>6.7999999999999996E-3</v>
      </c>
      <c r="Q33">
        <f t="shared" si="31"/>
        <v>1.14E-2</v>
      </c>
      <c r="R33">
        <f t="shared" si="31"/>
        <v>1.72E-2</v>
      </c>
      <c r="S33">
        <f t="shared" si="31"/>
        <v>1.67E-2</v>
      </c>
      <c r="T33">
        <f t="shared" si="31"/>
        <v>1.6799999999999999E-2</v>
      </c>
      <c r="U33">
        <f t="shared" si="31"/>
        <v>1.5800000000000002E-2</v>
      </c>
      <c r="V33">
        <f t="shared" si="31"/>
        <v>1.1299999999999999E-2</v>
      </c>
      <c r="W33">
        <f t="shared" si="31"/>
        <v>2.3800000000000002E-2</v>
      </c>
      <c r="X33">
        <f t="shared" ref="X33:AA33" si="41">ABS(X65)</f>
        <v>3.6499999999999998E-2</v>
      </c>
      <c r="Y33">
        <f t="shared" si="41"/>
        <v>1.9599999999999999E-2</v>
      </c>
      <c r="Z33">
        <f t="shared" si="41"/>
        <v>1.6299999999999999E-2</v>
      </c>
      <c r="AA33">
        <f t="shared" si="41"/>
        <v>1.66E-2</v>
      </c>
      <c r="AB33">
        <v>1.66E-2</v>
      </c>
      <c r="AC33">
        <f t="shared" ref="AC33:AO33" si="42">ABS(AC65)</f>
        <v>4.1599999999999998E-2</v>
      </c>
      <c r="AD33">
        <f t="shared" si="42"/>
        <v>3.1399999999999997E-2</v>
      </c>
      <c r="AE33">
        <f t="shared" si="42"/>
        <v>3.5400000000000001E-2</v>
      </c>
      <c r="AF33">
        <f t="shared" si="42"/>
        <v>2.0299999999999999E-2</v>
      </c>
      <c r="AG33">
        <f t="shared" si="42"/>
        <v>3.04E-2</v>
      </c>
      <c r="AH33">
        <f t="shared" si="42"/>
        <v>3.2800000000000003E-2</v>
      </c>
      <c r="AI33">
        <f t="shared" si="42"/>
        <v>4.3799999999999999E-2</v>
      </c>
      <c r="AJ33">
        <f t="shared" si="42"/>
        <v>5.5100000000000003E-2</v>
      </c>
      <c r="AK33">
        <f t="shared" si="42"/>
        <v>6.2E-2</v>
      </c>
      <c r="AL33">
        <f t="shared" si="42"/>
        <v>0.13070000000000001</v>
      </c>
      <c r="AM33">
        <f t="shared" si="42"/>
        <v>0.1406</v>
      </c>
      <c r="AN33">
        <f t="shared" si="42"/>
        <v>0.12839999999999999</v>
      </c>
      <c r="AO33">
        <f t="shared" si="42"/>
        <v>0.27</v>
      </c>
    </row>
    <row r="34" spans="1:41" x14ac:dyDescent="0.25">
      <c r="A34" s="2">
        <f t="shared" si="30"/>
        <v>13</v>
      </c>
      <c r="B34" s="2">
        <v>16</v>
      </c>
      <c r="C34" s="3">
        <v>13</v>
      </c>
      <c r="D34">
        <v>0</v>
      </c>
      <c r="E34">
        <f t="shared" si="31"/>
        <v>1.1999999999999999E-3</v>
      </c>
      <c r="F34">
        <f t="shared" si="31"/>
        <v>2.3E-3</v>
      </c>
      <c r="G34">
        <f t="shared" si="31"/>
        <v>3.0999999999999999E-3</v>
      </c>
      <c r="H34">
        <f t="shared" si="31"/>
        <v>1.4E-3</v>
      </c>
      <c r="I34">
        <f t="shared" si="31"/>
        <v>2E-3</v>
      </c>
      <c r="J34">
        <f t="shared" si="31"/>
        <v>1.03E-2</v>
      </c>
      <c r="K34">
        <f t="shared" si="31"/>
        <v>4.3E-3</v>
      </c>
      <c r="L34">
        <f t="shared" si="31"/>
        <v>1.9E-3</v>
      </c>
      <c r="M34">
        <f t="shared" si="31"/>
        <v>8.8000000000000005E-3</v>
      </c>
      <c r="N34">
        <f t="shared" si="31"/>
        <v>2.8E-3</v>
      </c>
      <c r="O34">
        <f t="shared" si="31"/>
        <v>4.5999999999999999E-3</v>
      </c>
      <c r="P34">
        <f t="shared" si="31"/>
        <v>2.2000000000000001E-3</v>
      </c>
      <c r="Q34">
        <f t="shared" si="31"/>
        <v>8.5000000000000006E-3</v>
      </c>
      <c r="R34">
        <f t="shared" si="31"/>
        <v>1.2200000000000001E-2</v>
      </c>
      <c r="S34">
        <f t="shared" si="31"/>
        <v>1.26E-2</v>
      </c>
      <c r="T34">
        <f t="shared" si="31"/>
        <v>1.09E-2</v>
      </c>
      <c r="U34">
        <f t="shared" si="31"/>
        <v>1.15E-2</v>
      </c>
      <c r="V34">
        <f t="shared" si="31"/>
        <v>4.7000000000000002E-3</v>
      </c>
      <c r="W34">
        <f t="shared" si="31"/>
        <v>1.7600000000000001E-2</v>
      </c>
      <c r="X34">
        <f t="shared" ref="X34:AA34" si="43">ABS(X66)</f>
        <v>0.03</v>
      </c>
      <c r="Y34">
        <f t="shared" si="43"/>
        <v>1.2200000000000001E-2</v>
      </c>
      <c r="Z34">
        <f t="shared" si="43"/>
        <v>1.03E-2</v>
      </c>
      <c r="AA34">
        <f t="shared" si="43"/>
        <v>8.9999999999999993E-3</v>
      </c>
      <c r="AB34">
        <v>8.9999999999999993E-3</v>
      </c>
      <c r="AC34">
        <f t="shared" ref="AC34:AO34" si="44">ABS(AC66)</f>
        <v>4.1500000000000002E-2</v>
      </c>
      <c r="AD34">
        <f t="shared" si="44"/>
        <v>3.2599999999999997E-2</v>
      </c>
      <c r="AE34">
        <f t="shared" si="44"/>
        <v>3.6799999999999999E-2</v>
      </c>
      <c r="AF34">
        <f t="shared" si="44"/>
        <v>1.06E-2</v>
      </c>
      <c r="AG34">
        <f t="shared" si="44"/>
        <v>1.9E-2</v>
      </c>
      <c r="AH34">
        <f t="shared" si="44"/>
        <v>2.0799999999999999E-2</v>
      </c>
      <c r="AI34">
        <f t="shared" si="44"/>
        <v>2.9499999999999998E-2</v>
      </c>
      <c r="AJ34">
        <f t="shared" si="44"/>
        <v>3.95E-2</v>
      </c>
      <c r="AK34">
        <f t="shared" si="44"/>
        <v>4.4400000000000002E-2</v>
      </c>
      <c r="AL34">
        <f t="shared" si="44"/>
        <v>6.6799999999999998E-2</v>
      </c>
      <c r="AM34">
        <f t="shared" si="44"/>
        <v>8.7400000000000005E-2</v>
      </c>
      <c r="AN34">
        <f t="shared" si="44"/>
        <v>6.7599999999999993E-2</v>
      </c>
      <c r="AO34">
        <f t="shared" si="44"/>
        <v>0.21110000000000001</v>
      </c>
    </row>
    <row r="35" spans="1:41" x14ac:dyDescent="0.25">
      <c r="A35" s="2">
        <f t="shared" si="30"/>
        <v>15</v>
      </c>
      <c r="B35" s="2">
        <v>18</v>
      </c>
      <c r="C35" s="3">
        <v>15</v>
      </c>
      <c r="D35">
        <v>0</v>
      </c>
      <c r="E35">
        <f t="shared" si="31"/>
        <v>6.0000000000000001E-3</v>
      </c>
      <c r="F35">
        <f t="shared" si="31"/>
        <v>3.8E-3</v>
      </c>
      <c r="G35">
        <f t="shared" si="31"/>
        <v>2.5000000000000001E-3</v>
      </c>
      <c r="H35">
        <f t="shared" si="31"/>
        <v>1.4E-3</v>
      </c>
      <c r="I35">
        <f t="shared" si="31"/>
        <v>2E-3</v>
      </c>
      <c r="J35">
        <f t="shared" si="31"/>
        <v>8.3999999999999995E-3</v>
      </c>
      <c r="K35">
        <f t="shared" si="31"/>
        <v>3.0000000000000001E-3</v>
      </c>
      <c r="L35">
        <f t="shared" si="31"/>
        <v>1.6999999999999999E-3</v>
      </c>
      <c r="M35">
        <f t="shared" si="31"/>
        <v>1.01E-2</v>
      </c>
      <c r="N35">
        <f t="shared" si="31"/>
        <v>1.6000000000000001E-3</v>
      </c>
      <c r="O35">
        <f t="shared" si="31"/>
        <v>4.8999999999999998E-3</v>
      </c>
      <c r="P35">
        <f t="shared" si="31"/>
        <v>2.2000000000000001E-3</v>
      </c>
      <c r="Q35">
        <f t="shared" si="31"/>
        <v>1.09E-2</v>
      </c>
      <c r="R35">
        <f t="shared" si="31"/>
        <v>1.1900000000000001E-2</v>
      </c>
      <c r="S35">
        <f t="shared" si="31"/>
        <v>1.2699999999999999E-2</v>
      </c>
      <c r="T35">
        <f t="shared" si="31"/>
        <v>1.04E-2</v>
      </c>
      <c r="U35">
        <f t="shared" si="31"/>
        <v>9.1000000000000004E-3</v>
      </c>
      <c r="V35">
        <f t="shared" si="31"/>
        <v>2.5999999999999999E-3</v>
      </c>
      <c r="W35">
        <f t="shared" si="31"/>
        <v>1.4999999999999999E-2</v>
      </c>
      <c r="X35">
        <f t="shared" ref="X35:AA35" si="45">ABS(X67)</f>
        <v>2.7400000000000001E-2</v>
      </c>
      <c r="Y35">
        <f t="shared" si="45"/>
        <v>9.4999999999999998E-3</v>
      </c>
      <c r="Z35">
        <f t="shared" si="45"/>
        <v>6.4000000000000003E-3</v>
      </c>
      <c r="AA35">
        <f t="shared" si="45"/>
        <v>7.3000000000000001E-3</v>
      </c>
      <c r="AB35">
        <v>7.3000000000000001E-3</v>
      </c>
      <c r="AC35">
        <f t="shared" ref="AC35:AO35" si="46">ABS(AC67)</f>
        <v>3.9699999999999999E-2</v>
      </c>
      <c r="AD35">
        <f t="shared" si="46"/>
        <v>3.1300000000000001E-2</v>
      </c>
      <c r="AE35">
        <f t="shared" si="46"/>
        <v>3.5999999999999997E-2</v>
      </c>
      <c r="AF35">
        <f t="shared" si="46"/>
        <v>7.3000000000000001E-3</v>
      </c>
      <c r="AG35">
        <f t="shared" si="46"/>
        <v>1.4999999999999999E-2</v>
      </c>
      <c r="AH35">
        <f t="shared" si="46"/>
        <v>1.6400000000000001E-2</v>
      </c>
      <c r="AI35">
        <f t="shared" si="46"/>
        <v>2.4400000000000002E-2</v>
      </c>
      <c r="AJ35">
        <f t="shared" si="46"/>
        <v>3.2899999999999999E-2</v>
      </c>
      <c r="AK35">
        <f t="shared" si="46"/>
        <v>3.5999999999999997E-2</v>
      </c>
      <c r="AL35">
        <f t="shared" si="46"/>
        <v>1.7000000000000001E-2</v>
      </c>
      <c r="AM35">
        <f t="shared" si="46"/>
        <v>1.1599999999999999E-2</v>
      </c>
      <c r="AN35">
        <f t="shared" si="46"/>
        <v>6.1999999999999998E-3</v>
      </c>
      <c r="AO35">
        <f t="shared" si="46"/>
        <v>0.1308</v>
      </c>
    </row>
    <row r="36" spans="1:41" x14ac:dyDescent="0.25">
      <c r="A36" s="2">
        <f t="shared" si="30"/>
        <v>17</v>
      </c>
      <c r="B36" s="2">
        <v>20</v>
      </c>
      <c r="C36" s="3">
        <v>17</v>
      </c>
      <c r="D36">
        <v>0</v>
      </c>
      <c r="E36">
        <f t="shared" si="31"/>
        <v>9.5999999999999992E-3</v>
      </c>
      <c r="F36">
        <f t="shared" si="31"/>
        <v>5.3E-3</v>
      </c>
      <c r="G36">
        <f t="shared" si="31"/>
        <v>4.8999999999999998E-3</v>
      </c>
      <c r="H36">
        <f t="shared" si="31"/>
        <v>6.7999999999999996E-3</v>
      </c>
      <c r="I36">
        <f t="shared" si="31"/>
        <v>4.1999999999999997E-3</v>
      </c>
      <c r="J36">
        <f t="shared" si="31"/>
        <v>9.4999999999999998E-3</v>
      </c>
      <c r="K36">
        <f t="shared" si="31"/>
        <v>3.3999999999999998E-3</v>
      </c>
      <c r="L36">
        <f t="shared" si="31"/>
        <v>1.4E-3</v>
      </c>
      <c r="M36">
        <f t="shared" si="31"/>
        <v>8.9999999999999993E-3</v>
      </c>
      <c r="N36">
        <f t="shared" si="31"/>
        <v>3.0000000000000001E-3</v>
      </c>
      <c r="O36">
        <f t="shared" si="31"/>
        <v>2.8E-3</v>
      </c>
      <c r="P36">
        <f t="shared" si="31"/>
        <v>1E-3</v>
      </c>
      <c r="Q36">
        <f t="shared" si="31"/>
        <v>8.3000000000000001E-3</v>
      </c>
      <c r="R36">
        <f t="shared" si="31"/>
        <v>6.6E-3</v>
      </c>
      <c r="S36">
        <f t="shared" si="31"/>
        <v>8.3999999999999995E-3</v>
      </c>
      <c r="T36">
        <f t="shared" si="31"/>
        <v>7.7999999999999996E-3</v>
      </c>
      <c r="U36">
        <f t="shared" si="31"/>
        <v>4.4000000000000003E-3</v>
      </c>
      <c r="V36">
        <f t="shared" si="31"/>
        <v>2.0000000000000001E-4</v>
      </c>
      <c r="W36">
        <f t="shared" si="31"/>
        <v>1.0200000000000001E-2</v>
      </c>
      <c r="X36">
        <f t="shared" ref="X36:AA36" si="47">ABS(X68)</f>
        <v>1.9E-2</v>
      </c>
      <c r="Y36">
        <f t="shared" si="47"/>
        <v>6.0000000000000001E-3</v>
      </c>
      <c r="Z36">
        <f t="shared" si="47"/>
        <v>1.9E-3</v>
      </c>
      <c r="AA36">
        <f t="shared" si="47"/>
        <v>3.2000000000000002E-3</v>
      </c>
      <c r="AB36">
        <v>3.2000000000000002E-3</v>
      </c>
      <c r="AC36">
        <f t="shared" ref="AC36:AO36" si="48">ABS(AC68)</f>
        <v>3.7600000000000001E-2</v>
      </c>
      <c r="AD36">
        <f t="shared" si="48"/>
        <v>0.03</v>
      </c>
      <c r="AE36">
        <f t="shared" si="48"/>
        <v>3.5799999999999998E-2</v>
      </c>
      <c r="AF36">
        <f t="shared" si="48"/>
        <v>4.7999999999999996E-3</v>
      </c>
      <c r="AG36">
        <f t="shared" si="48"/>
        <v>5.9999999999999995E-4</v>
      </c>
      <c r="AH36">
        <f t="shared" si="48"/>
        <v>2E-3</v>
      </c>
      <c r="AI36">
        <f t="shared" si="48"/>
        <v>6.0000000000000001E-3</v>
      </c>
      <c r="AJ36">
        <f t="shared" si="48"/>
        <v>1.32E-2</v>
      </c>
      <c r="AK36">
        <f t="shared" si="48"/>
        <v>1.2200000000000001E-2</v>
      </c>
      <c r="AL36">
        <f t="shared" si="48"/>
        <v>6.4299999999999996E-2</v>
      </c>
      <c r="AM36">
        <f t="shared" si="48"/>
        <v>2.9399999999999999E-2</v>
      </c>
      <c r="AN36">
        <f t="shared" si="48"/>
        <v>4.5999999999999999E-2</v>
      </c>
      <c r="AO36">
        <f t="shared" si="48"/>
        <v>8.9899999999999994E-2</v>
      </c>
    </row>
    <row r="37" spans="1:41" x14ac:dyDescent="0.25">
      <c r="A37" s="2">
        <f t="shared" si="30"/>
        <v>19</v>
      </c>
      <c r="B37" s="2">
        <v>22</v>
      </c>
      <c r="C37" s="3">
        <v>19</v>
      </c>
      <c r="D37">
        <v>0</v>
      </c>
      <c r="E37">
        <f t="shared" si="31"/>
        <v>7.3000000000000001E-3</v>
      </c>
      <c r="F37">
        <f t="shared" si="31"/>
        <v>7.9000000000000008E-3</v>
      </c>
      <c r="G37">
        <f t="shared" si="31"/>
        <v>4.8999999999999998E-3</v>
      </c>
      <c r="H37">
        <f t="shared" si="31"/>
        <v>9.7999999999999997E-3</v>
      </c>
      <c r="I37">
        <f t="shared" si="31"/>
        <v>5.3E-3</v>
      </c>
      <c r="J37">
        <f t="shared" si="31"/>
        <v>1.01E-2</v>
      </c>
      <c r="K37">
        <f t="shared" si="31"/>
        <v>3.3999999999999998E-3</v>
      </c>
      <c r="L37">
        <f t="shared" si="31"/>
        <v>1.2999999999999999E-3</v>
      </c>
      <c r="M37">
        <f t="shared" si="31"/>
        <v>8.8000000000000005E-3</v>
      </c>
      <c r="N37">
        <f t="shared" si="31"/>
        <v>3.7000000000000002E-3</v>
      </c>
      <c r="O37">
        <f t="shared" si="31"/>
        <v>4.0000000000000002E-4</v>
      </c>
      <c r="P37">
        <f t="shared" si="31"/>
        <v>2.5999999999999999E-3</v>
      </c>
      <c r="Q37">
        <f t="shared" si="31"/>
        <v>4.7999999999999996E-3</v>
      </c>
      <c r="R37">
        <f t="shared" si="31"/>
        <v>1.1999999999999999E-3</v>
      </c>
      <c r="S37">
        <f t="shared" si="31"/>
        <v>3.5999999999999999E-3</v>
      </c>
      <c r="T37">
        <f t="shared" si="31"/>
        <v>4.5999999999999999E-3</v>
      </c>
      <c r="U37">
        <f t="shared" si="31"/>
        <v>2.0000000000000001E-4</v>
      </c>
      <c r="V37">
        <f t="shared" si="31"/>
        <v>3.0999999999999999E-3</v>
      </c>
      <c r="W37">
        <f t="shared" si="31"/>
        <v>5.4999999999999997E-3</v>
      </c>
      <c r="X37">
        <f t="shared" ref="X37:AA37" si="49">ABS(X69)</f>
        <v>1.18E-2</v>
      </c>
      <c r="Y37">
        <f t="shared" si="49"/>
        <v>1E-4</v>
      </c>
      <c r="Z37">
        <f t="shared" si="49"/>
        <v>3.0000000000000001E-3</v>
      </c>
      <c r="AA37">
        <f t="shared" si="49"/>
        <v>1.1999999999999999E-3</v>
      </c>
      <c r="AB37">
        <v>1.1999999999999999E-3</v>
      </c>
      <c r="AC37">
        <f t="shared" ref="AC37:AO37" si="50">ABS(AC69)</f>
        <v>3.44E-2</v>
      </c>
      <c r="AD37">
        <f t="shared" si="50"/>
        <v>2.8000000000000001E-2</v>
      </c>
      <c r="AE37">
        <f t="shared" si="50"/>
        <v>3.49E-2</v>
      </c>
      <c r="AF37">
        <f t="shared" si="50"/>
        <v>1.4999999999999999E-2</v>
      </c>
      <c r="AG37">
        <f t="shared" si="50"/>
        <v>1.12E-2</v>
      </c>
      <c r="AH37">
        <f t="shared" si="50"/>
        <v>1.06E-2</v>
      </c>
      <c r="AI37">
        <f t="shared" si="50"/>
        <v>7.3000000000000001E-3</v>
      </c>
      <c r="AJ37">
        <f t="shared" si="50"/>
        <v>2.8999999999999998E-3</v>
      </c>
      <c r="AK37">
        <f t="shared" si="50"/>
        <v>5.4999999999999997E-3</v>
      </c>
      <c r="AL37">
        <f t="shared" si="50"/>
        <v>7.7600000000000002E-2</v>
      </c>
      <c r="AM37">
        <f t="shared" si="50"/>
        <v>5.2299999999999999E-2</v>
      </c>
      <c r="AN37">
        <f t="shared" si="50"/>
        <v>6.5000000000000002E-2</v>
      </c>
      <c r="AO37">
        <f t="shared" si="50"/>
        <v>7.3300000000000004E-2</v>
      </c>
    </row>
    <row r="38" spans="1:41" x14ac:dyDescent="0.25">
      <c r="A38" s="2">
        <f t="shared" si="30"/>
        <v>21</v>
      </c>
      <c r="B38" s="2">
        <v>24</v>
      </c>
      <c r="C38" s="3">
        <v>21</v>
      </c>
      <c r="D38">
        <v>0</v>
      </c>
      <c r="E38">
        <f t="shared" si="31"/>
        <v>5.7999999999999996E-3</v>
      </c>
      <c r="F38">
        <f t="shared" si="31"/>
        <v>4.4000000000000003E-3</v>
      </c>
      <c r="G38">
        <f t="shared" si="31"/>
        <v>3.5000000000000001E-3</v>
      </c>
      <c r="H38">
        <f t="shared" si="31"/>
        <v>3.8E-3</v>
      </c>
      <c r="I38">
        <f t="shared" si="31"/>
        <v>1.2999999999999999E-3</v>
      </c>
      <c r="J38">
        <f t="shared" si="31"/>
        <v>2.5000000000000001E-3</v>
      </c>
      <c r="K38">
        <f t="shared" si="31"/>
        <v>1.4E-3</v>
      </c>
      <c r="L38">
        <f t="shared" si="31"/>
        <v>1.2999999999999999E-3</v>
      </c>
      <c r="M38">
        <f t="shared" si="31"/>
        <v>3.8E-3</v>
      </c>
      <c r="N38">
        <f t="shared" si="31"/>
        <v>2.0000000000000001E-4</v>
      </c>
      <c r="O38">
        <f t="shared" si="31"/>
        <v>1.1999999999999999E-3</v>
      </c>
      <c r="P38">
        <f t="shared" si="31"/>
        <v>2.5999999999999999E-3</v>
      </c>
      <c r="Q38">
        <f t="shared" si="31"/>
        <v>4.4000000000000003E-3</v>
      </c>
      <c r="R38">
        <f t="shared" si="31"/>
        <v>2.5000000000000001E-3</v>
      </c>
      <c r="S38">
        <f t="shared" si="31"/>
        <v>3.5000000000000001E-3</v>
      </c>
      <c r="T38">
        <f t="shared" si="31"/>
        <v>3.5000000000000001E-3</v>
      </c>
      <c r="U38">
        <f t="shared" si="31"/>
        <v>3.2000000000000002E-3</v>
      </c>
      <c r="V38">
        <f t="shared" si="31"/>
        <v>1E-3</v>
      </c>
      <c r="W38">
        <f t="shared" si="31"/>
        <v>5.0000000000000001E-3</v>
      </c>
      <c r="X38">
        <f t="shared" ref="X38:AA38" si="51">ABS(X70)</f>
        <v>9.5999999999999992E-3</v>
      </c>
      <c r="Y38">
        <f t="shared" si="51"/>
        <v>1.6999999999999999E-3</v>
      </c>
      <c r="Z38">
        <f t="shared" si="51"/>
        <v>4.0000000000000002E-4</v>
      </c>
      <c r="AA38">
        <f t="shared" si="51"/>
        <v>1.9E-3</v>
      </c>
      <c r="AB38">
        <v>1.9E-3</v>
      </c>
      <c r="AC38">
        <f t="shared" ref="AC38:AO38" si="52">ABS(AC70)</f>
        <v>2.0199999999999999E-2</v>
      </c>
      <c r="AD38">
        <f t="shared" si="52"/>
        <v>1.37E-2</v>
      </c>
      <c r="AE38">
        <f t="shared" si="52"/>
        <v>2.1499999999999998E-2</v>
      </c>
      <c r="AF38">
        <f t="shared" si="52"/>
        <v>5.0000000000000001E-3</v>
      </c>
      <c r="AG38">
        <f t="shared" si="52"/>
        <v>8.0000000000000002E-3</v>
      </c>
      <c r="AH38">
        <f t="shared" si="52"/>
        <v>7.1999999999999998E-3</v>
      </c>
      <c r="AI38">
        <f t="shared" si="52"/>
        <v>5.1999999999999998E-3</v>
      </c>
      <c r="AJ38">
        <f t="shared" si="52"/>
        <v>2.8999999999999998E-3</v>
      </c>
      <c r="AK38">
        <f t="shared" si="52"/>
        <v>6.4000000000000003E-3</v>
      </c>
      <c r="AL38">
        <f t="shared" si="52"/>
        <v>2.1700000000000001E-2</v>
      </c>
      <c r="AM38">
        <f t="shared" si="52"/>
        <v>1.1299999999999999E-2</v>
      </c>
      <c r="AN38">
        <f t="shared" si="52"/>
        <v>1.5699999999999999E-2</v>
      </c>
      <c r="AO38">
        <f t="shared" si="52"/>
        <v>9.1899999999999996E-2</v>
      </c>
    </row>
    <row r="39" spans="1:41" s="5" customFormat="1" x14ac:dyDescent="0.25">
      <c r="A39" s="4"/>
      <c r="B39" s="4"/>
      <c r="C39" s="4"/>
      <c r="D39">
        <f>AVERAGE(D27:D38)</f>
        <v>0</v>
      </c>
      <c r="E39">
        <f t="shared" ref="E39:S39" si="53">AVERAGE(E27:E38)</f>
        <v>4.3545454545454547E-3</v>
      </c>
      <c r="F39">
        <f t="shared" si="53"/>
        <v>5.3E-3</v>
      </c>
      <c r="G39">
        <f t="shared" si="53"/>
        <v>4.6636363636363637E-3</v>
      </c>
      <c r="H39">
        <f t="shared" si="53"/>
        <v>5.990909090909091E-3</v>
      </c>
      <c r="I39">
        <f t="shared" si="53"/>
        <v>3.3727272727272733E-3</v>
      </c>
      <c r="J39">
        <f t="shared" si="53"/>
        <v>7.518181818181818E-3</v>
      </c>
      <c r="K39">
        <f t="shared" si="53"/>
        <v>2.9090909090909093E-3</v>
      </c>
      <c r="L39">
        <f t="shared" si="53"/>
        <v>2.454545454545454E-3</v>
      </c>
      <c r="M39">
        <f t="shared" si="53"/>
        <v>6.0181818181818192E-3</v>
      </c>
      <c r="N39">
        <f t="shared" si="53"/>
        <v>2.4727272727272723E-3</v>
      </c>
      <c r="O39">
        <f t="shared" si="53"/>
        <v>7.1090909090909087E-3</v>
      </c>
      <c r="P39">
        <f t="shared" si="53"/>
        <v>6.981818181818181E-3</v>
      </c>
      <c r="Q39">
        <f t="shared" si="53"/>
        <v>1.1481818181818182E-2</v>
      </c>
      <c r="R39">
        <f t="shared" si="53"/>
        <v>1.6154545454545453E-2</v>
      </c>
      <c r="S39">
        <f t="shared" si="53"/>
        <v>1.7799999999999996E-2</v>
      </c>
      <c r="AF39">
        <f t="shared" ref="AF39:AG39" si="54">ABS(AF71)</f>
        <v>0</v>
      </c>
      <c r="AG39">
        <f t="shared" si="54"/>
        <v>0</v>
      </c>
    </row>
    <row r="40" spans="1:41" s="5" customFormat="1" x14ac:dyDescent="0.25">
      <c r="A40" s="4"/>
      <c r="B40" s="4"/>
      <c r="C40" s="4"/>
      <c r="D40" s="6">
        <v>0</v>
      </c>
      <c r="E40" s="6">
        <v>4.5750000000000001E-3</v>
      </c>
      <c r="F40" s="6">
        <v>2.108333333333334E-3</v>
      </c>
      <c r="G40" s="6">
        <v>5.083333333333334E-4</v>
      </c>
      <c r="H40" s="6">
        <v>1.1833333333333338E-3</v>
      </c>
      <c r="I40" s="6">
        <v>6.3000000000000003E-4</v>
      </c>
      <c r="J40" s="6">
        <v>4.7580000000000001E-3</v>
      </c>
      <c r="K40" s="6">
        <v>5.6999999999999998E-4</v>
      </c>
      <c r="L40" s="6">
        <v>1.1333333333333336E-3</v>
      </c>
      <c r="M40" s="6">
        <f>M39*-1</f>
        <v>-6.0181818181818192E-3</v>
      </c>
      <c r="N40" s="6">
        <f t="shared" ref="N40" si="55">N39*-1</f>
        <v>-2.4727272727272723E-3</v>
      </c>
      <c r="O40" s="6">
        <v>7.4749999999999999E-3</v>
      </c>
      <c r="P40" s="5">
        <f>P39</f>
        <v>6.981818181818181E-3</v>
      </c>
      <c r="Q40" s="5">
        <f t="shared" ref="Q40:S40" si="56">Q39</f>
        <v>1.1481818181818182E-2</v>
      </c>
      <c r="R40" s="5">
        <f t="shared" si="56"/>
        <v>1.6154545454545453E-2</v>
      </c>
      <c r="S40" s="5">
        <f t="shared" si="56"/>
        <v>1.7799999999999996E-2</v>
      </c>
      <c r="AF40">
        <f t="shared" ref="AF40:AG40" si="57">ABS(AF72)</f>
        <v>0</v>
      </c>
      <c r="AG40">
        <f t="shared" si="57"/>
        <v>0</v>
      </c>
    </row>
    <row r="41" spans="1:41" s="5" customFormat="1" x14ac:dyDescent="0.25">
      <c r="A41" s="4"/>
      <c r="B41" s="4"/>
      <c r="C41" s="4"/>
    </row>
    <row r="43" spans="1:41" x14ac:dyDescent="0.25">
      <c r="E43" s="1">
        <v>43404</v>
      </c>
      <c r="F43" s="1">
        <v>43417</v>
      </c>
      <c r="G43" s="1">
        <v>43439</v>
      </c>
      <c r="H43" s="1">
        <v>43452</v>
      </c>
      <c r="I43" s="1">
        <v>43470</v>
      </c>
      <c r="J43" s="1">
        <v>43486</v>
      </c>
      <c r="K43" s="1">
        <v>43502</v>
      </c>
      <c r="L43" s="1">
        <v>43521</v>
      </c>
      <c r="M43" s="1">
        <v>43537</v>
      </c>
      <c r="N43" s="1">
        <v>43556</v>
      </c>
      <c r="O43" s="1">
        <v>43565</v>
      </c>
      <c r="P43" s="1">
        <v>43579</v>
      </c>
      <c r="Q43" s="1">
        <v>43600</v>
      </c>
      <c r="R43" s="1">
        <v>43614</v>
      </c>
      <c r="S43" s="1">
        <v>43628</v>
      </c>
      <c r="T43" s="1">
        <v>43654</v>
      </c>
      <c r="U43" s="1">
        <v>43670</v>
      </c>
      <c r="V43" s="1">
        <v>43693</v>
      </c>
      <c r="W43" s="1">
        <v>43707</v>
      </c>
      <c r="X43" s="1">
        <v>43733</v>
      </c>
      <c r="Y43" s="1">
        <v>43748</v>
      </c>
      <c r="Z43" s="1">
        <v>43770</v>
      </c>
      <c r="AA43" s="1">
        <v>43790</v>
      </c>
      <c r="AB43" s="8">
        <v>43806</v>
      </c>
      <c r="AC43" s="1">
        <v>43817</v>
      </c>
      <c r="AD43" s="1">
        <v>43839</v>
      </c>
      <c r="AE43" s="1">
        <v>43869</v>
      </c>
      <c r="AF43" s="1">
        <v>43902</v>
      </c>
      <c r="AG43" s="1">
        <v>43924</v>
      </c>
      <c r="AH43" s="9">
        <v>43953</v>
      </c>
      <c r="AI43" s="9">
        <v>43982</v>
      </c>
      <c r="AJ43" s="9">
        <v>44024</v>
      </c>
      <c r="AK43" s="1">
        <v>44078</v>
      </c>
      <c r="AL43" s="1">
        <v>44138</v>
      </c>
      <c r="AM43" s="1">
        <v>44231</v>
      </c>
      <c r="AN43" s="1">
        <v>44355</v>
      </c>
      <c r="AO43" s="1">
        <v>44613</v>
      </c>
    </row>
    <row r="44" spans="1:41" x14ac:dyDescent="0.25">
      <c r="E44">
        <v>1.5800000000000002E-2</v>
      </c>
      <c r="F44">
        <v>2.9600000000000001E-2</v>
      </c>
      <c r="G44">
        <v>2.24E-2</v>
      </c>
      <c r="H44">
        <v>3.3700000000000001E-2</v>
      </c>
      <c r="I44">
        <v>3.3399999999999999E-2</v>
      </c>
      <c r="J44">
        <v>2.69E-2</v>
      </c>
      <c r="K44">
        <v>2.35E-2</v>
      </c>
      <c r="L44">
        <v>2.5700000000000001E-2</v>
      </c>
      <c r="M44">
        <v>2.1499999999999998E-2</v>
      </c>
      <c r="N44">
        <v>2.0500000000000001E-2</v>
      </c>
      <c r="O44">
        <v>2.29E-2</v>
      </c>
      <c r="P44">
        <v>2.35E-2</v>
      </c>
      <c r="Q44">
        <v>2.8299999999999999E-2</v>
      </c>
      <c r="R44">
        <v>2.52E-2</v>
      </c>
      <c r="S44">
        <v>1.5599999999999999E-2</v>
      </c>
      <c r="T44">
        <v>4.87E-2</v>
      </c>
      <c r="U44">
        <v>7.7000000000000002E-3</v>
      </c>
      <c r="V44">
        <v>1.8599999999999998E-2</v>
      </c>
      <c r="W44">
        <v>-7.7999999999999996E-3</v>
      </c>
      <c r="X44">
        <v>7.2800000000000004E-2</v>
      </c>
      <c r="Y44">
        <v>6.8900000000000003E-2</v>
      </c>
      <c r="Z44">
        <v>0.53769999999999996</v>
      </c>
      <c r="AA44">
        <v>0.47539999999999999</v>
      </c>
      <c r="AB44" s="7">
        <v>3.2899999999999999E-2</v>
      </c>
      <c r="AC44">
        <v>0.45200000000000001</v>
      </c>
      <c r="AD44">
        <v>0.45889999999999997</v>
      </c>
      <c r="AE44">
        <v>0.44700000000000001</v>
      </c>
      <c r="AF44">
        <v>0.43309999999999998</v>
      </c>
      <c r="AG44">
        <v>0.4093</v>
      </c>
      <c r="AH44" s="10">
        <v>0.37930000000000003</v>
      </c>
      <c r="AI44" s="10">
        <v>0.34899999999999998</v>
      </c>
      <c r="AJ44" s="10">
        <v>0.35899999999999999</v>
      </c>
      <c r="AK44">
        <v>0.2273</v>
      </c>
      <c r="AL44">
        <v>-0.70099999999999996</v>
      </c>
      <c r="AM44">
        <v>-0.67490000000000006</v>
      </c>
      <c r="AN44">
        <v>-0.70330000000000004</v>
      </c>
      <c r="AO44">
        <v>-0.8236</v>
      </c>
    </row>
    <row r="45" spans="1:41" x14ac:dyDescent="0.25">
      <c r="E45">
        <v>7.3000000000000001E-3</v>
      </c>
      <c r="F45">
        <v>1E-4</v>
      </c>
      <c r="G45">
        <v>-1.0999999999999999E-2</v>
      </c>
      <c r="H45">
        <v>-5.8999999999999999E-3</v>
      </c>
      <c r="I45">
        <v>-3.2000000000000002E-3</v>
      </c>
      <c r="J45">
        <v>-8.8000000000000005E-3</v>
      </c>
      <c r="K45">
        <v>-1.04E-2</v>
      </c>
      <c r="L45">
        <v>-0.01</v>
      </c>
      <c r="M45">
        <v>-1.21E-2</v>
      </c>
      <c r="N45">
        <v>-4.8999999999999998E-3</v>
      </c>
      <c r="O45">
        <v>-1.21E-2</v>
      </c>
      <c r="P45">
        <v>-9.1000000000000004E-3</v>
      </c>
      <c r="Q45">
        <v>-1.04E-2</v>
      </c>
      <c r="R45">
        <v>-1.1900000000000001E-2</v>
      </c>
      <c r="S45">
        <v>-2.18E-2</v>
      </c>
      <c r="T45">
        <v>-3.0999999999999999E-3</v>
      </c>
      <c r="U45">
        <v>-2.2100000000000002E-2</v>
      </c>
      <c r="V45">
        <v>-2.3900000000000001E-2</v>
      </c>
      <c r="W45">
        <v>-3.8399999999999997E-2</v>
      </c>
      <c r="X45">
        <v>-1.6999999999999999E-3</v>
      </c>
      <c r="Y45">
        <v>-6.7999999999999996E-3</v>
      </c>
      <c r="Z45">
        <v>4.5199999999999997E-2</v>
      </c>
      <c r="AA45">
        <v>1.2800000000000001E-2</v>
      </c>
      <c r="AB45">
        <v>1.2800000000000001E-2</v>
      </c>
      <c r="AC45">
        <v>1.2800000000000001E-2</v>
      </c>
      <c r="AD45">
        <v>1.2800000000000001E-2</v>
      </c>
      <c r="AE45">
        <v>1.2800000000000001E-2</v>
      </c>
      <c r="AF45">
        <v>1.7399999999999999E-2</v>
      </c>
      <c r="AG45">
        <v>1.03E-2</v>
      </c>
      <c r="AH45" s="10">
        <v>-8.2000000000000007E-3</v>
      </c>
      <c r="AI45" s="10">
        <v>-1.46E-2</v>
      </c>
      <c r="AJ45" s="10">
        <v>-1.03E-2</v>
      </c>
      <c r="AK45">
        <v>-4.6800000000000001E-2</v>
      </c>
      <c r="AL45">
        <v>-0.62880000000000003</v>
      </c>
      <c r="AM45">
        <v>-0.59809999999999997</v>
      </c>
      <c r="AN45">
        <v>-0.62839999999999996</v>
      </c>
      <c r="AO45">
        <v>-0.73839999999999995</v>
      </c>
    </row>
    <row r="46" spans="1:41" x14ac:dyDescent="0.25">
      <c r="E46">
        <v>-1.24E-2</v>
      </c>
      <c r="F46">
        <v>-1.55E-2</v>
      </c>
      <c r="G46">
        <v>-2.5899999999999999E-2</v>
      </c>
      <c r="H46">
        <v>-2.41E-2</v>
      </c>
      <c r="I46">
        <v>-2.0799999999999999E-2</v>
      </c>
      <c r="J46">
        <v>-2.4E-2</v>
      </c>
      <c r="K46">
        <v>-2.5100000000000001E-2</v>
      </c>
      <c r="L46">
        <v>-2.52E-2</v>
      </c>
      <c r="M46">
        <v>-2.7099999999999999E-2</v>
      </c>
      <c r="N46">
        <v>-1.9800000000000002E-2</v>
      </c>
      <c r="O46">
        <v>-2.6599999999999999E-2</v>
      </c>
      <c r="P46">
        <v>-2.3599999999999999E-2</v>
      </c>
      <c r="Q46">
        <v>-2.4799999999999999E-2</v>
      </c>
      <c r="R46">
        <v>-2.6599999999999999E-2</v>
      </c>
      <c r="S46">
        <v>-3.5999999999999997E-2</v>
      </c>
      <c r="T46">
        <v>-4.1399999999999999E-2</v>
      </c>
      <c r="U46">
        <v>-4.5600000000000002E-2</v>
      </c>
      <c r="V46">
        <v>-5.0999999999999997E-2</v>
      </c>
      <c r="W46">
        <v>-5.5899999999999998E-2</v>
      </c>
      <c r="X46">
        <v>-5.1999999999999998E-2</v>
      </c>
      <c r="Y46">
        <v>-6.8599999999999994E-2</v>
      </c>
      <c r="Z46">
        <v>-6.2300000000000001E-2</v>
      </c>
      <c r="AA46">
        <v>-7.7299999999999994E-2</v>
      </c>
      <c r="AB46" s="7">
        <v>-0.5071</v>
      </c>
      <c r="AC46">
        <v>-6.83E-2</v>
      </c>
      <c r="AD46">
        <v>-5.7099999999999998E-2</v>
      </c>
      <c r="AE46">
        <v>-6.13E-2</v>
      </c>
      <c r="AF46">
        <v>-5.0799999999999998E-2</v>
      </c>
      <c r="AG46">
        <v>-5.0599999999999999E-2</v>
      </c>
      <c r="AH46" s="10">
        <v>-5.6800000000000003E-2</v>
      </c>
      <c r="AI46" s="10">
        <v>-5.5E-2</v>
      </c>
      <c r="AJ46" s="10">
        <v>-6.1199999999999997E-2</v>
      </c>
      <c r="AK46">
        <v>-6.6400000000000001E-2</v>
      </c>
      <c r="AL46">
        <v>-0.54190000000000005</v>
      </c>
      <c r="AM46">
        <v>-0.51339999999999997</v>
      </c>
      <c r="AN46">
        <v>-0.53979999999999995</v>
      </c>
      <c r="AO46">
        <v>-0.64580000000000004</v>
      </c>
    </row>
    <row r="47" spans="1:41" x14ac:dyDescent="0.25">
      <c r="E47">
        <v>-1.24E-2</v>
      </c>
      <c r="F47">
        <v>-1.12E-2</v>
      </c>
      <c r="G47">
        <v>-1.24E-2</v>
      </c>
      <c r="H47">
        <v>-8.8000000000000005E-3</v>
      </c>
      <c r="I47">
        <v>-3.2000000000000002E-3</v>
      </c>
      <c r="J47">
        <v>-6.0000000000000001E-3</v>
      </c>
      <c r="K47">
        <v>-6.4999999999999997E-3</v>
      </c>
      <c r="L47">
        <v>-6.6E-3</v>
      </c>
      <c r="M47">
        <v>-8.2000000000000007E-3</v>
      </c>
      <c r="N47">
        <v>-3.7000000000000002E-3</v>
      </c>
      <c r="O47">
        <v>-7.9000000000000008E-3</v>
      </c>
      <c r="P47">
        <v>-6.0000000000000001E-3</v>
      </c>
      <c r="Q47">
        <v>-6.1999999999999998E-3</v>
      </c>
      <c r="R47">
        <v>-8.8000000000000005E-3</v>
      </c>
      <c r="S47">
        <v>-1.6899999999999998E-2</v>
      </c>
      <c r="T47">
        <v>-2.2800000000000001E-2</v>
      </c>
      <c r="U47">
        <v>-2.7199999999999998E-2</v>
      </c>
      <c r="V47">
        <v>-3.3500000000000002E-2</v>
      </c>
      <c r="W47">
        <v>-3.7699999999999997E-2</v>
      </c>
      <c r="X47">
        <v>-3.49E-2</v>
      </c>
      <c r="Y47">
        <v>-5.1499999999999997E-2</v>
      </c>
      <c r="Z47">
        <v>-4.7500000000000001E-2</v>
      </c>
      <c r="AA47">
        <v>-0.06</v>
      </c>
      <c r="AB47" s="7">
        <v>-0.4859</v>
      </c>
      <c r="AC47">
        <v>-4.5600000000000002E-2</v>
      </c>
      <c r="AD47">
        <v>-3.3599999999999998E-2</v>
      </c>
      <c r="AE47">
        <v>-3.7900000000000003E-2</v>
      </c>
      <c r="AF47">
        <v>-2.81E-2</v>
      </c>
      <c r="AG47">
        <v>-2.7799999999999998E-2</v>
      </c>
      <c r="AH47" s="10">
        <v>-3.3000000000000002E-2</v>
      </c>
      <c r="AI47" s="10">
        <v>-3.2199999999999999E-2</v>
      </c>
      <c r="AJ47" s="10">
        <v>-3.9199999999999999E-2</v>
      </c>
      <c r="AK47">
        <v>-4.2799999999999998E-2</v>
      </c>
      <c r="AL47">
        <v>-0.42380000000000001</v>
      </c>
      <c r="AM47">
        <v>-0.40160000000000001</v>
      </c>
      <c r="AN47">
        <v>-0.42199999999999999</v>
      </c>
      <c r="AO47">
        <v>-0.52500000000000002</v>
      </c>
    </row>
    <row r="48" spans="1:41" x14ac:dyDescent="0.25">
      <c r="E48">
        <v>-1.14E-2</v>
      </c>
      <c r="F48">
        <v>-1.01E-2</v>
      </c>
      <c r="G48">
        <v>-1.09E-2</v>
      </c>
      <c r="H48">
        <v>-7.1999999999999998E-3</v>
      </c>
      <c r="I48">
        <v>-1E-3</v>
      </c>
      <c r="J48">
        <v>-3.5000000000000001E-3</v>
      </c>
      <c r="K48">
        <v>-4.1000000000000003E-3</v>
      </c>
      <c r="L48">
        <v>-3.8E-3</v>
      </c>
      <c r="M48">
        <v>-4.8999999999999998E-3</v>
      </c>
      <c r="N48">
        <v>-2.5999999999999999E-3</v>
      </c>
      <c r="O48">
        <v>-5.0000000000000001E-3</v>
      </c>
      <c r="P48">
        <v>-4.0000000000000001E-3</v>
      </c>
      <c r="Q48">
        <v>-3.2000000000000002E-3</v>
      </c>
      <c r="R48">
        <v>-6.6E-3</v>
      </c>
      <c r="S48">
        <v>-1.37E-2</v>
      </c>
      <c r="T48">
        <v>-1.9E-2</v>
      </c>
      <c r="U48">
        <v>-2.29E-2</v>
      </c>
      <c r="V48">
        <v>-2.9399999999999999E-2</v>
      </c>
      <c r="W48">
        <v>-3.3399999999999999E-2</v>
      </c>
      <c r="X48">
        <v>-3.1699999999999999E-2</v>
      </c>
      <c r="Y48">
        <v>-4.6399999999999997E-2</v>
      </c>
      <c r="Z48">
        <v>-4.4200000000000003E-2</v>
      </c>
      <c r="AA48">
        <v>-5.5800000000000002E-2</v>
      </c>
      <c r="AB48" s="7">
        <v>-0.4829</v>
      </c>
      <c r="AC48">
        <v>-4.1599999999999998E-2</v>
      </c>
      <c r="AD48">
        <v>-3.0499999999999999E-2</v>
      </c>
      <c r="AE48">
        <v>-3.3599999999999998E-2</v>
      </c>
      <c r="AF48">
        <v>-2.5399999999999999E-2</v>
      </c>
      <c r="AG48">
        <v>-2.47E-2</v>
      </c>
      <c r="AH48" s="10">
        <v>-2.9600000000000001E-2</v>
      </c>
      <c r="AI48" s="10">
        <v>-2.9399999999999999E-2</v>
      </c>
      <c r="AJ48" s="10">
        <v>-3.6400000000000002E-2</v>
      </c>
      <c r="AK48">
        <v>-4.02E-2</v>
      </c>
      <c r="AL48">
        <v>-0.30559999999999998</v>
      </c>
      <c r="AM48">
        <v>-0.2923</v>
      </c>
      <c r="AN48">
        <v>-0.30590000000000001</v>
      </c>
      <c r="AO48">
        <v>-0.40739999999999998</v>
      </c>
    </row>
    <row r="49" spans="5:41" x14ac:dyDescent="0.25">
      <c r="E49">
        <v>-1.0200000000000001E-2</v>
      </c>
      <c r="F49">
        <v>-9.5999999999999992E-3</v>
      </c>
      <c r="G49">
        <v>-1.12E-2</v>
      </c>
      <c r="H49">
        <v>-8.8000000000000005E-3</v>
      </c>
      <c r="I49">
        <v>-2.2000000000000001E-3</v>
      </c>
      <c r="J49">
        <v>-4.3E-3</v>
      </c>
      <c r="K49">
        <v>-4.0000000000000001E-3</v>
      </c>
      <c r="L49">
        <v>-3.3999999999999998E-3</v>
      </c>
      <c r="M49">
        <v>-4.4000000000000003E-3</v>
      </c>
      <c r="N49">
        <v>-2.5999999999999999E-3</v>
      </c>
      <c r="O49">
        <v>-4.7999999999999996E-3</v>
      </c>
      <c r="P49">
        <v>-3.0999999999999999E-3</v>
      </c>
      <c r="Q49">
        <v>-2.5000000000000001E-3</v>
      </c>
      <c r="R49">
        <v>-6.4000000000000003E-3</v>
      </c>
      <c r="S49">
        <v>-1.1599999999999999E-2</v>
      </c>
      <c r="T49">
        <v>-1.61E-2</v>
      </c>
      <c r="U49">
        <v>-1.9599999999999999E-2</v>
      </c>
      <c r="V49">
        <v>-2.5899999999999999E-2</v>
      </c>
      <c r="W49">
        <v>-2.9399999999999999E-2</v>
      </c>
      <c r="X49">
        <v>-2.92E-2</v>
      </c>
      <c r="Y49">
        <v>-4.2500000000000003E-2</v>
      </c>
      <c r="Z49">
        <v>-4.2000000000000003E-2</v>
      </c>
      <c r="AA49">
        <v>-5.2299999999999999E-2</v>
      </c>
      <c r="AB49" s="7">
        <v>-0.48139999999999999</v>
      </c>
      <c r="AC49">
        <v>-4.0899999999999999E-2</v>
      </c>
      <c r="AD49">
        <v>-0.03</v>
      </c>
      <c r="AE49">
        <v>-3.3399999999999999E-2</v>
      </c>
      <c r="AF49">
        <v>-2.6499999999999999E-2</v>
      </c>
      <c r="AG49">
        <v>-2.5899999999999999E-2</v>
      </c>
      <c r="AH49" s="10">
        <v>-0.03</v>
      </c>
      <c r="AI49" s="10">
        <v>-3.0499999999999999E-2</v>
      </c>
      <c r="AJ49" s="10">
        <v>-3.7199999999999997E-2</v>
      </c>
      <c r="AK49">
        <v>-4.1799999999999997E-2</v>
      </c>
      <c r="AL49">
        <v>-0.19089999999999999</v>
      </c>
      <c r="AM49">
        <v>-0.18759999999999999</v>
      </c>
      <c r="AN49">
        <v>-0.19400000000000001</v>
      </c>
      <c r="AO49">
        <v>-0.2944</v>
      </c>
    </row>
    <row r="50" spans="5:41" x14ac:dyDescent="0.25">
      <c r="E50">
        <v>-9.1999999999999998E-3</v>
      </c>
      <c r="F50">
        <v>-8.9999999999999993E-3</v>
      </c>
      <c r="G50">
        <v>-1.1599999999999999E-2</v>
      </c>
      <c r="H50">
        <v>-1.0999999999999999E-2</v>
      </c>
      <c r="I50">
        <v>-5.5999999999999999E-3</v>
      </c>
      <c r="J50">
        <v>-6.6E-3</v>
      </c>
      <c r="K50">
        <v>-5.7999999999999996E-3</v>
      </c>
      <c r="L50">
        <v>-4.7000000000000002E-3</v>
      </c>
      <c r="M50">
        <v>-6.1000000000000004E-3</v>
      </c>
      <c r="N50">
        <v>-4.1999999999999997E-3</v>
      </c>
      <c r="O50">
        <v>-6.1999999999999998E-3</v>
      </c>
      <c r="P50">
        <v>-5.1999999999999998E-3</v>
      </c>
      <c r="Q50">
        <v>-3.5000000000000001E-3</v>
      </c>
      <c r="R50">
        <v>-7.1999999999999998E-3</v>
      </c>
      <c r="S50">
        <v>-1.1299999999999999E-2</v>
      </c>
      <c r="T50">
        <v>-1.4999999999999999E-2</v>
      </c>
      <c r="U50">
        <v>-1.72E-2</v>
      </c>
      <c r="V50">
        <v>-2.3E-2</v>
      </c>
      <c r="W50">
        <v>-2.6499999999999999E-2</v>
      </c>
      <c r="X50">
        <v>-2.69E-2</v>
      </c>
      <c r="Y50">
        <v>-3.8800000000000001E-2</v>
      </c>
      <c r="Z50">
        <v>-3.9E-2</v>
      </c>
      <c r="AA50">
        <v>-4.9000000000000002E-2</v>
      </c>
      <c r="AB50" s="7">
        <v>-0.48020000000000002</v>
      </c>
      <c r="AC50">
        <v>-4.1599999999999998E-2</v>
      </c>
      <c r="AD50">
        <v>-3.1399999999999997E-2</v>
      </c>
      <c r="AE50">
        <v>-3.5400000000000001E-2</v>
      </c>
      <c r="AF50">
        <v>-2.9899999999999999E-2</v>
      </c>
      <c r="AG50">
        <v>-2.9000000000000001E-2</v>
      </c>
      <c r="AH50" s="10">
        <v>-3.2399999999999998E-2</v>
      </c>
      <c r="AI50" s="10">
        <v>-3.3500000000000002E-2</v>
      </c>
      <c r="AJ50" s="10">
        <v>-3.95E-2</v>
      </c>
      <c r="AK50">
        <v>-4.5499999999999999E-2</v>
      </c>
      <c r="AL50">
        <v>-0.1062</v>
      </c>
      <c r="AM50">
        <v>-0.10979999999999999</v>
      </c>
      <c r="AN50">
        <v>-0.1118</v>
      </c>
      <c r="AO50">
        <v>-0.21060000000000001</v>
      </c>
    </row>
    <row r="51" spans="5:41" x14ac:dyDescent="0.25">
      <c r="E51">
        <v>-8.5000000000000006E-3</v>
      </c>
      <c r="F51">
        <v>-9.5999999999999992E-3</v>
      </c>
      <c r="G51">
        <v>-1.1900000000000001E-2</v>
      </c>
      <c r="H51">
        <v>-1.2999999999999999E-2</v>
      </c>
      <c r="I51">
        <v>-0.01</v>
      </c>
      <c r="J51">
        <v>-9.7999999999999997E-3</v>
      </c>
      <c r="K51">
        <v>-8.3999999999999995E-3</v>
      </c>
      <c r="L51">
        <v>-7.0000000000000001E-3</v>
      </c>
      <c r="M51">
        <v>-8.9999999999999993E-3</v>
      </c>
      <c r="N51">
        <v>-6.6E-3</v>
      </c>
      <c r="O51">
        <v>-8.3000000000000001E-3</v>
      </c>
      <c r="P51">
        <v>-7.0000000000000001E-3</v>
      </c>
      <c r="Q51">
        <v>-4.7999999999999996E-3</v>
      </c>
      <c r="R51">
        <v>-7.4000000000000003E-3</v>
      </c>
      <c r="S51">
        <v>-1.0699999999999999E-2</v>
      </c>
      <c r="T51">
        <v>-1.4200000000000001E-2</v>
      </c>
      <c r="U51">
        <v>-1.4999999999999999E-2</v>
      </c>
      <c r="V51">
        <v>-2.0199999999999999E-2</v>
      </c>
      <c r="W51">
        <v>-2.3E-2</v>
      </c>
      <c r="X51">
        <v>-2.3800000000000002E-2</v>
      </c>
      <c r="Y51">
        <v>-3.4700000000000002E-2</v>
      </c>
      <c r="Z51">
        <v>-3.5799999999999998E-2</v>
      </c>
      <c r="AA51">
        <v>-4.48E-2</v>
      </c>
      <c r="AB51" s="7">
        <v>-0.47820000000000001</v>
      </c>
      <c r="AC51">
        <v>-4.1500000000000002E-2</v>
      </c>
      <c r="AD51">
        <v>-3.2599999999999997E-2</v>
      </c>
      <c r="AE51">
        <v>-3.6799999999999999E-2</v>
      </c>
      <c r="AF51">
        <v>-3.2300000000000002E-2</v>
      </c>
      <c r="AG51">
        <v>-3.1699999999999999E-2</v>
      </c>
      <c r="AH51" s="10">
        <v>-3.3799999999999997E-2</v>
      </c>
      <c r="AI51" s="10">
        <v>-3.44E-2</v>
      </c>
      <c r="AJ51" s="10">
        <v>-3.9399999999999998E-2</v>
      </c>
      <c r="AK51">
        <v>-4.58E-2</v>
      </c>
      <c r="AL51">
        <v>-8.8099999999999998E-2</v>
      </c>
      <c r="AM51">
        <v>-9.0999999999999998E-2</v>
      </c>
      <c r="AN51">
        <v>-9.2200000000000004E-2</v>
      </c>
      <c r="AO51">
        <v>-0.1915</v>
      </c>
    </row>
    <row r="52" spans="5:41" x14ac:dyDescent="0.25">
      <c r="E52">
        <v>-7.3000000000000001E-3</v>
      </c>
      <c r="F52">
        <v>-8.6E-3</v>
      </c>
      <c r="G52">
        <v>-1.1900000000000001E-2</v>
      </c>
      <c r="H52">
        <v>-1.26E-2</v>
      </c>
      <c r="I52">
        <v>-1.12E-2</v>
      </c>
      <c r="J52">
        <v>-1.0999999999999999E-2</v>
      </c>
      <c r="K52">
        <v>-9.1999999999999998E-3</v>
      </c>
      <c r="L52">
        <v>-8.2000000000000007E-3</v>
      </c>
      <c r="M52">
        <v>-1.01E-2</v>
      </c>
      <c r="N52">
        <v>-7.9000000000000008E-3</v>
      </c>
      <c r="O52">
        <v>-8.8000000000000005E-3</v>
      </c>
      <c r="P52">
        <v>-8.2000000000000007E-3</v>
      </c>
      <c r="Q52">
        <v>-5.4999999999999997E-3</v>
      </c>
      <c r="R52">
        <v>-6.7999999999999996E-3</v>
      </c>
      <c r="S52">
        <v>-9.7000000000000003E-3</v>
      </c>
      <c r="T52">
        <v>-1.37E-2</v>
      </c>
      <c r="U52">
        <v>-1.37E-2</v>
      </c>
      <c r="V52">
        <v>-1.7999999999999999E-2</v>
      </c>
      <c r="W52">
        <v>-2.0899999999999998E-2</v>
      </c>
      <c r="X52">
        <v>-2.1499999999999998E-2</v>
      </c>
      <c r="Y52">
        <v>-3.1300000000000001E-2</v>
      </c>
      <c r="Z52">
        <v>-3.2599999999999997E-2</v>
      </c>
      <c r="AA52">
        <v>-4.1799999999999997E-2</v>
      </c>
      <c r="AB52" s="7">
        <v>-0.47589999999999999</v>
      </c>
      <c r="AC52">
        <v>-3.9699999999999999E-2</v>
      </c>
      <c r="AD52">
        <v>-3.1300000000000001E-2</v>
      </c>
      <c r="AE52">
        <v>-3.5999999999999997E-2</v>
      </c>
      <c r="AF52">
        <v>-3.1699999999999999E-2</v>
      </c>
      <c r="AG52">
        <v>-3.1E-2</v>
      </c>
      <c r="AH52" s="10">
        <v>-3.2399999999999998E-2</v>
      </c>
      <c r="AI52" s="10">
        <v>-3.2399999999999998E-2</v>
      </c>
      <c r="AJ52" s="10">
        <v>-3.6400000000000002E-2</v>
      </c>
      <c r="AK52">
        <v>-4.19E-2</v>
      </c>
      <c r="AL52">
        <v>-0.1018</v>
      </c>
      <c r="AM52">
        <v>-0.1069</v>
      </c>
      <c r="AN52">
        <v>-0.1079</v>
      </c>
      <c r="AO52">
        <v>-0.2056</v>
      </c>
    </row>
    <row r="53" spans="5:41" x14ac:dyDescent="0.25">
      <c r="E53">
        <v>-6.0000000000000001E-3</v>
      </c>
      <c r="F53">
        <v>-8.6E-3</v>
      </c>
      <c r="G53">
        <v>-1.12E-2</v>
      </c>
      <c r="H53">
        <v>-1.2500000000000001E-2</v>
      </c>
      <c r="I53">
        <v>-1.34E-2</v>
      </c>
      <c r="J53">
        <v>-1.34E-2</v>
      </c>
      <c r="K53">
        <v>-1.1599999999999999E-2</v>
      </c>
      <c r="L53">
        <v>-1.24E-2</v>
      </c>
      <c r="M53">
        <v>-1.34E-2</v>
      </c>
      <c r="N53">
        <v>-1.24E-2</v>
      </c>
      <c r="O53">
        <v>-1.1599999999999999E-2</v>
      </c>
      <c r="P53">
        <v>-1.1299999999999999E-2</v>
      </c>
      <c r="Q53">
        <v>-8.3999999999999995E-3</v>
      </c>
      <c r="R53">
        <v>-8.8999999999999999E-3</v>
      </c>
      <c r="S53">
        <v>-1.0800000000000001E-2</v>
      </c>
      <c r="T53">
        <v>-1.4200000000000001E-2</v>
      </c>
      <c r="U53">
        <v>-1.32E-2</v>
      </c>
      <c r="V53">
        <v>-1.67E-2</v>
      </c>
      <c r="W53">
        <v>-1.9300000000000001E-2</v>
      </c>
      <c r="X53">
        <v>-1.8100000000000002E-2</v>
      </c>
      <c r="Y53">
        <v>-2.7199999999999998E-2</v>
      </c>
      <c r="Z53">
        <v>-2.92E-2</v>
      </c>
      <c r="AA53">
        <v>-3.7999999999999999E-2</v>
      </c>
      <c r="AB53" s="7">
        <v>-0.47299999999999998</v>
      </c>
      <c r="AC53">
        <v>-3.7600000000000001E-2</v>
      </c>
      <c r="AD53">
        <v>-0.03</v>
      </c>
      <c r="AE53">
        <v>-3.5799999999999998E-2</v>
      </c>
      <c r="AF53">
        <v>-3.1E-2</v>
      </c>
      <c r="AG53">
        <v>-3.04E-2</v>
      </c>
      <c r="AH53" s="10">
        <v>-3.0499999999999999E-2</v>
      </c>
      <c r="AI53" s="10">
        <v>-2.92E-2</v>
      </c>
      <c r="AJ53" s="10">
        <v>-3.0700000000000002E-2</v>
      </c>
      <c r="AK53">
        <v>-3.3700000000000001E-2</v>
      </c>
      <c r="AL53">
        <v>-7.0800000000000002E-2</v>
      </c>
      <c r="AM53">
        <v>-8.5900000000000004E-2</v>
      </c>
      <c r="AN53">
        <v>-8.3799999999999999E-2</v>
      </c>
      <c r="AO53">
        <v>-0.1736</v>
      </c>
    </row>
    <row r="54" spans="5:41" x14ac:dyDescent="0.25">
      <c r="E54">
        <v>-2.2000000000000001E-3</v>
      </c>
      <c r="F54">
        <v>-5.8999999999999999E-3</v>
      </c>
      <c r="G54">
        <v>-8.3000000000000001E-3</v>
      </c>
      <c r="H54">
        <v>-1.06E-2</v>
      </c>
      <c r="I54">
        <v>-1.24E-2</v>
      </c>
      <c r="J54">
        <v>-1.1900000000000001E-2</v>
      </c>
      <c r="K54">
        <v>-1.03E-2</v>
      </c>
      <c r="L54">
        <v>-1.1299999999999999E-2</v>
      </c>
      <c r="M54">
        <v>-1.24E-2</v>
      </c>
      <c r="N54">
        <v>-1.2200000000000001E-2</v>
      </c>
      <c r="O54">
        <v>-1.1299999999999999E-2</v>
      </c>
      <c r="P54">
        <v>-1.12E-2</v>
      </c>
      <c r="Q54">
        <v>-8.5000000000000006E-3</v>
      </c>
      <c r="R54">
        <v>-9.7000000000000003E-3</v>
      </c>
      <c r="S54">
        <v>-1.01E-2</v>
      </c>
      <c r="T54">
        <v>-1.26E-2</v>
      </c>
      <c r="U54">
        <v>-1.1599999999999999E-2</v>
      </c>
      <c r="V54">
        <v>-1.5100000000000001E-2</v>
      </c>
      <c r="W54">
        <v>-1.66E-2</v>
      </c>
      <c r="X54">
        <v>-1.5699999999999999E-2</v>
      </c>
      <c r="Y54">
        <v>-2.29E-2</v>
      </c>
      <c r="Z54">
        <v>-2.6200000000000001E-2</v>
      </c>
      <c r="AA54">
        <v>-3.1899999999999998E-2</v>
      </c>
      <c r="AB54" s="7">
        <v>-0.46970000000000001</v>
      </c>
      <c r="AC54">
        <v>-3.44E-2</v>
      </c>
      <c r="AD54">
        <v>-2.8000000000000001E-2</v>
      </c>
      <c r="AE54">
        <v>-3.49E-2</v>
      </c>
      <c r="AF54">
        <v>-3.2500000000000001E-2</v>
      </c>
      <c r="AG54">
        <v>-3.2399999999999998E-2</v>
      </c>
      <c r="AH54" s="10">
        <v>-3.2800000000000003E-2</v>
      </c>
      <c r="AI54" s="10">
        <v>-3.1699999999999999E-2</v>
      </c>
      <c r="AJ54" s="10">
        <v>-3.2399999999999998E-2</v>
      </c>
      <c r="AK54">
        <v>-3.61E-2</v>
      </c>
      <c r="AL54">
        <v>-3.3700000000000001E-2</v>
      </c>
      <c r="AM54">
        <v>-4.8599999999999997E-2</v>
      </c>
      <c r="AN54">
        <v>-4.7399999999999998E-2</v>
      </c>
      <c r="AO54">
        <v>-0.12709999999999999</v>
      </c>
    </row>
    <row r="55" spans="5:41" x14ac:dyDescent="0.25">
      <c r="E55">
        <v>-1.1000000000000001E-3</v>
      </c>
      <c r="F55">
        <v>-3.3999999999999998E-3</v>
      </c>
      <c r="G55">
        <v>-4.7999999999999996E-3</v>
      </c>
      <c r="H55">
        <v>-6.6E-3</v>
      </c>
      <c r="I55">
        <v>-7.7000000000000002E-3</v>
      </c>
      <c r="J55">
        <v>-7.9000000000000008E-3</v>
      </c>
      <c r="K55">
        <v>-6.4000000000000003E-3</v>
      </c>
      <c r="L55">
        <v>-7.1999999999999998E-3</v>
      </c>
      <c r="M55">
        <v>-7.9000000000000008E-3</v>
      </c>
      <c r="N55">
        <v>-8.0000000000000002E-3</v>
      </c>
      <c r="O55">
        <v>-7.1999999999999998E-3</v>
      </c>
      <c r="P55">
        <v>-7.1000000000000004E-3</v>
      </c>
      <c r="Q55">
        <v>-5.4000000000000003E-3</v>
      </c>
      <c r="R55">
        <v>-6.1000000000000004E-3</v>
      </c>
      <c r="S55">
        <v>-6.6E-3</v>
      </c>
      <c r="T55">
        <v>-7.3000000000000001E-3</v>
      </c>
      <c r="U55">
        <v>-7.1000000000000004E-3</v>
      </c>
      <c r="V55">
        <v>-8.9999999999999993E-3</v>
      </c>
      <c r="W55">
        <v>-9.4000000000000004E-3</v>
      </c>
      <c r="X55">
        <v>-6.4999999999999997E-3</v>
      </c>
      <c r="Y55">
        <v>-1.2500000000000001E-2</v>
      </c>
      <c r="Z55">
        <v>-1.4800000000000001E-2</v>
      </c>
      <c r="AA55">
        <v>-1.78E-2</v>
      </c>
      <c r="AB55" s="7">
        <v>-0.45610000000000001</v>
      </c>
      <c r="AC55">
        <v>-2.0199999999999999E-2</v>
      </c>
      <c r="AD55">
        <v>-1.37E-2</v>
      </c>
      <c r="AE55">
        <v>-2.1499999999999998E-2</v>
      </c>
      <c r="AF55">
        <v>-2.0500000000000001E-2</v>
      </c>
      <c r="AG55">
        <v>-2.0400000000000001E-2</v>
      </c>
      <c r="AH55" s="10">
        <v>-2.0899999999999998E-2</v>
      </c>
      <c r="AI55" s="10">
        <v>-2.0299999999999999E-2</v>
      </c>
      <c r="AJ55" s="10">
        <v>-2.0899999999999998E-2</v>
      </c>
      <c r="AK55">
        <v>-2.3300000000000001E-2</v>
      </c>
      <c r="AL55">
        <v>-1.0999999999999999E-2</v>
      </c>
      <c r="AM55">
        <v>-1.7999999999999999E-2</v>
      </c>
      <c r="AN55">
        <v>-1.8200000000000001E-2</v>
      </c>
      <c r="AO55">
        <v>-6.1699999999999998E-2</v>
      </c>
    </row>
    <row r="56" spans="5:41" x14ac:dyDescent="0.25">
      <c r="AM56">
        <v>0</v>
      </c>
      <c r="AN56">
        <v>0</v>
      </c>
    </row>
    <row r="58" spans="5:41" x14ac:dyDescent="0.25">
      <c r="E58" s="1">
        <v>43404</v>
      </c>
      <c r="F58" s="1">
        <v>43417</v>
      </c>
      <c r="G58" s="1">
        <v>43439</v>
      </c>
      <c r="H58" s="1">
        <v>43452</v>
      </c>
      <c r="I58" s="1">
        <v>43470</v>
      </c>
      <c r="J58" s="1">
        <v>43486</v>
      </c>
      <c r="K58" s="1">
        <v>43502</v>
      </c>
      <c r="L58" s="1">
        <v>43521</v>
      </c>
      <c r="M58" s="1">
        <v>43537</v>
      </c>
      <c r="N58" s="1">
        <v>43556</v>
      </c>
      <c r="O58" s="1">
        <v>43565</v>
      </c>
      <c r="P58" s="1">
        <v>43579</v>
      </c>
      <c r="Q58" s="1">
        <v>43600</v>
      </c>
      <c r="R58" s="1">
        <v>43614</v>
      </c>
      <c r="S58" s="1">
        <v>43628</v>
      </c>
      <c r="T58" s="1">
        <v>43654</v>
      </c>
      <c r="U58" s="1">
        <v>43670</v>
      </c>
      <c r="V58" s="1">
        <v>43693</v>
      </c>
      <c r="W58" s="1">
        <v>43707</v>
      </c>
      <c r="X58" s="1">
        <v>43733</v>
      </c>
      <c r="Y58" s="1">
        <v>43748</v>
      </c>
      <c r="Z58" s="1">
        <v>43770</v>
      </c>
      <c r="AA58" s="1">
        <v>43790</v>
      </c>
      <c r="AB58" s="8">
        <v>43806</v>
      </c>
      <c r="AC58" s="1">
        <v>43817</v>
      </c>
      <c r="AD58" s="1">
        <v>43839</v>
      </c>
      <c r="AE58" s="1">
        <v>43869</v>
      </c>
      <c r="AF58" s="1">
        <v>43902</v>
      </c>
      <c r="AG58" s="1">
        <v>43924</v>
      </c>
      <c r="AH58" s="9">
        <v>43953</v>
      </c>
      <c r="AI58" s="9">
        <v>43982</v>
      </c>
      <c r="AJ58" s="9">
        <v>44024</v>
      </c>
      <c r="AK58" s="1">
        <v>44078</v>
      </c>
      <c r="AL58" s="1">
        <v>44138</v>
      </c>
      <c r="AM58" s="1">
        <v>44231</v>
      </c>
      <c r="AN58" s="1">
        <v>44355</v>
      </c>
      <c r="AO58" s="1">
        <v>44613</v>
      </c>
    </row>
    <row r="59" spans="5:41" x14ac:dyDescent="0.25">
      <c r="E59">
        <v>7.0000000000000001E-3</v>
      </c>
      <c r="F59">
        <v>1.44E-2</v>
      </c>
      <c r="G59">
        <v>-7.1999999999999998E-3</v>
      </c>
      <c r="H59">
        <v>-5.3E-3</v>
      </c>
      <c r="I59">
        <v>-1.5100000000000001E-2</v>
      </c>
      <c r="J59">
        <v>-2.24E-2</v>
      </c>
      <c r="K59">
        <v>-3.8E-3</v>
      </c>
      <c r="L59">
        <v>2E-3</v>
      </c>
      <c r="M59">
        <v>-4.1999999999999997E-3</v>
      </c>
      <c r="N59">
        <v>-8.9999999999999993E-3</v>
      </c>
      <c r="O59">
        <v>1.15E-2</v>
      </c>
      <c r="P59">
        <v>7.0000000000000001E-3</v>
      </c>
      <c r="Q59">
        <v>1.14E-2</v>
      </c>
      <c r="R59">
        <v>2.4799999999999999E-2</v>
      </c>
      <c r="S59">
        <v>3.9600000000000003E-2</v>
      </c>
      <c r="T59">
        <v>1.9599999999999999E-2</v>
      </c>
      <c r="U59">
        <v>5.4100000000000002E-2</v>
      </c>
      <c r="V59">
        <v>1.18E-2</v>
      </c>
      <c r="W59">
        <v>8.2900000000000001E-2</v>
      </c>
      <c r="X59">
        <v>5.2400000000000002E-2</v>
      </c>
      <c r="Y59">
        <v>5.5399999999999998E-2</v>
      </c>
      <c r="Z59">
        <v>0.56220000000000003</v>
      </c>
      <c r="AA59">
        <v>0.51919999999999999</v>
      </c>
      <c r="AB59" s="7">
        <v>2.8899999999999999E-2</v>
      </c>
      <c r="AC59">
        <v>0.45200000000000001</v>
      </c>
      <c r="AD59">
        <v>0.45889999999999997</v>
      </c>
      <c r="AE59">
        <v>0.44700000000000001</v>
      </c>
      <c r="AF59">
        <v>0.45760000000000001</v>
      </c>
      <c r="AG59">
        <v>0.46200000000000002</v>
      </c>
      <c r="AH59" s="10">
        <v>0.44769999999999999</v>
      </c>
      <c r="AI59" s="10">
        <v>0.4289</v>
      </c>
      <c r="AJ59" s="10">
        <v>0.45119999999999999</v>
      </c>
      <c r="AK59">
        <v>0.47020000000000001</v>
      </c>
      <c r="AL59">
        <v>-0.60140000000000005</v>
      </c>
      <c r="AM59">
        <v>-0.58760000000000001</v>
      </c>
      <c r="AN59">
        <v>-0.58860000000000001</v>
      </c>
      <c r="AO59">
        <v>-0.71220000000000006</v>
      </c>
    </row>
    <row r="60" spans="5:41" x14ac:dyDescent="0.25">
      <c r="E60">
        <v>1.8E-3</v>
      </c>
      <c r="F60">
        <v>1.52E-2</v>
      </c>
      <c r="G60">
        <v>1.21E-2</v>
      </c>
      <c r="H60">
        <v>9.4999999999999998E-3</v>
      </c>
      <c r="I60">
        <v>2.8E-3</v>
      </c>
      <c r="J60">
        <v>-9.7999999999999997E-3</v>
      </c>
      <c r="K60">
        <v>4.1999999999999997E-3</v>
      </c>
      <c r="L60">
        <v>3.5000000000000001E-3</v>
      </c>
      <c r="M60">
        <v>-5.9999999999999995E-4</v>
      </c>
      <c r="N60">
        <v>-1E-4</v>
      </c>
      <c r="O60">
        <v>1.2E-2</v>
      </c>
      <c r="P60">
        <v>1.3299999999999999E-2</v>
      </c>
      <c r="Q60">
        <v>1.8100000000000002E-2</v>
      </c>
      <c r="R60">
        <v>3.4299999999999997E-2</v>
      </c>
      <c r="S60">
        <v>3.6600000000000001E-2</v>
      </c>
      <c r="T60">
        <v>2.93E-2</v>
      </c>
      <c r="U60">
        <v>3.9399999999999998E-2</v>
      </c>
      <c r="V60">
        <v>3.1800000000000002E-2</v>
      </c>
      <c r="W60">
        <v>6.4399999999999999E-2</v>
      </c>
      <c r="X60">
        <v>5.8200000000000002E-2</v>
      </c>
      <c r="Y60">
        <v>5.2400000000000002E-2</v>
      </c>
      <c r="Z60">
        <v>0.1462</v>
      </c>
      <c r="AA60">
        <v>0.1404</v>
      </c>
      <c r="AB60">
        <v>0.1404</v>
      </c>
      <c r="AC60">
        <v>0.1404</v>
      </c>
      <c r="AD60">
        <v>0.1404</v>
      </c>
      <c r="AE60">
        <v>0.1404</v>
      </c>
      <c r="AF60">
        <v>0.12959999999999999</v>
      </c>
      <c r="AG60">
        <v>0.13800000000000001</v>
      </c>
      <c r="AH60" s="10">
        <v>0.13150000000000001</v>
      </c>
      <c r="AI60" s="10">
        <v>0.13200000000000001</v>
      </c>
      <c r="AJ60" s="10">
        <v>0.15040000000000001</v>
      </c>
      <c r="AK60">
        <v>0.17080000000000001</v>
      </c>
      <c r="AL60">
        <v>-0.59330000000000005</v>
      </c>
      <c r="AM60">
        <v>-0.57830000000000004</v>
      </c>
      <c r="AN60">
        <v>-0.58069999999999999</v>
      </c>
      <c r="AO60">
        <v>-0.70730000000000004</v>
      </c>
    </row>
    <row r="61" spans="5:41" x14ac:dyDescent="0.25">
      <c r="E61">
        <v>1.8E-3</v>
      </c>
      <c r="F61">
        <v>6.7000000000000002E-3</v>
      </c>
      <c r="G61">
        <v>7.1999999999999998E-3</v>
      </c>
      <c r="H61">
        <v>1.2E-2</v>
      </c>
      <c r="I61">
        <v>5.4999999999999997E-3</v>
      </c>
      <c r="J61">
        <v>-6.6E-3</v>
      </c>
      <c r="K61">
        <v>2.5000000000000001E-3</v>
      </c>
      <c r="L61">
        <v>4.7000000000000002E-3</v>
      </c>
      <c r="M61">
        <v>-3.0999999999999999E-3</v>
      </c>
      <c r="N61">
        <v>3.8E-3</v>
      </c>
      <c r="O61">
        <v>1.3599999999999999E-2</v>
      </c>
      <c r="P61">
        <v>1.32E-2</v>
      </c>
      <c r="Q61">
        <v>1.66E-2</v>
      </c>
      <c r="R61">
        <v>2.9399999999999999E-2</v>
      </c>
      <c r="S61">
        <v>2.9600000000000001E-2</v>
      </c>
      <c r="T61">
        <v>2.5999999999999999E-2</v>
      </c>
      <c r="U61">
        <v>1.9199999999999998E-2</v>
      </c>
      <c r="V61">
        <v>2.6800000000000001E-2</v>
      </c>
      <c r="W61">
        <v>3.8899999999999997E-2</v>
      </c>
      <c r="X61">
        <v>5.04E-2</v>
      </c>
      <c r="Y61">
        <v>3.2599999999999997E-2</v>
      </c>
      <c r="Z61">
        <v>2.81E-2</v>
      </c>
      <c r="AA61">
        <v>3.49E-2</v>
      </c>
      <c r="AB61" s="7">
        <v>-0.44579999999999997</v>
      </c>
      <c r="AC61">
        <v>-6.83E-2</v>
      </c>
      <c r="AD61">
        <v>-5.7099999999999998E-2</v>
      </c>
      <c r="AE61">
        <v>-6.13E-2</v>
      </c>
      <c r="AF61">
        <v>3.9E-2</v>
      </c>
      <c r="AG61">
        <v>5.3499999999999999E-2</v>
      </c>
      <c r="AH61" s="10">
        <v>5.4600000000000003E-2</v>
      </c>
      <c r="AI61" s="10">
        <v>7.0300000000000001E-2</v>
      </c>
      <c r="AJ61" s="10">
        <v>7.8700000000000006E-2</v>
      </c>
      <c r="AK61">
        <v>9.1899999999999996E-2</v>
      </c>
      <c r="AL61">
        <v>-0.35160000000000002</v>
      </c>
      <c r="AM61">
        <v>-0.3493</v>
      </c>
      <c r="AN61">
        <v>-0.34239999999999998</v>
      </c>
      <c r="AO61">
        <v>-0.47270000000000001</v>
      </c>
    </row>
    <row r="62" spans="5:41" x14ac:dyDescent="0.25">
      <c r="E62">
        <v>4.1999999999999997E-3</v>
      </c>
      <c r="F62">
        <v>3.7000000000000002E-3</v>
      </c>
      <c r="G62">
        <v>5.1999999999999998E-3</v>
      </c>
      <c r="H62">
        <v>6.6E-3</v>
      </c>
      <c r="I62">
        <v>4.1000000000000003E-3</v>
      </c>
      <c r="J62">
        <v>-6.4999999999999997E-3</v>
      </c>
      <c r="K62">
        <v>1.4E-3</v>
      </c>
      <c r="L62">
        <v>2.5000000000000001E-3</v>
      </c>
      <c r="M62">
        <v>-5.8999999999999999E-3</v>
      </c>
      <c r="N62">
        <v>3.3999999999999998E-3</v>
      </c>
      <c r="O62">
        <v>9.7000000000000003E-3</v>
      </c>
      <c r="P62">
        <v>1.0699999999999999E-2</v>
      </c>
      <c r="Q62">
        <v>1.4E-2</v>
      </c>
      <c r="R62">
        <v>2.24E-2</v>
      </c>
      <c r="S62">
        <v>2.5700000000000001E-2</v>
      </c>
      <c r="T62">
        <v>2.2599999999999999E-2</v>
      </c>
      <c r="U62">
        <v>1.9300000000000001E-2</v>
      </c>
      <c r="V62">
        <v>2.1399999999999999E-2</v>
      </c>
      <c r="W62">
        <v>3.2000000000000001E-2</v>
      </c>
      <c r="X62">
        <v>4.4200000000000003E-2</v>
      </c>
      <c r="Y62">
        <v>2.98E-2</v>
      </c>
      <c r="Z62">
        <v>2.6599999999999999E-2</v>
      </c>
      <c r="AA62">
        <v>3.0499999999999999E-2</v>
      </c>
      <c r="AB62" s="7">
        <v>-0.45240000000000002</v>
      </c>
      <c r="AC62">
        <v>-4.5600000000000002E-2</v>
      </c>
      <c r="AD62">
        <v>-3.3599999999999998E-2</v>
      </c>
      <c r="AE62">
        <v>-3.7900000000000003E-2</v>
      </c>
      <c r="AF62">
        <v>3.1800000000000002E-2</v>
      </c>
      <c r="AG62">
        <v>4.3299999999999998E-2</v>
      </c>
      <c r="AH62" s="10">
        <v>4.3999999999999997E-2</v>
      </c>
      <c r="AI62" s="10">
        <v>5.8200000000000002E-2</v>
      </c>
      <c r="AJ62" s="10">
        <v>6.7799999999999999E-2</v>
      </c>
      <c r="AK62">
        <v>7.8200000000000006E-2</v>
      </c>
      <c r="AL62">
        <v>-0.1474</v>
      </c>
      <c r="AM62">
        <v>-0.15290000000000001</v>
      </c>
      <c r="AN62">
        <v>-0.1414</v>
      </c>
      <c r="AO62">
        <v>-0.27360000000000001</v>
      </c>
    </row>
    <row r="63" spans="5:41" x14ac:dyDescent="0.25">
      <c r="E63">
        <v>4.1999999999999997E-3</v>
      </c>
      <c r="F63">
        <v>3.0000000000000001E-3</v>
      </c>
      <c r="G63">
        <v>4.1000000000000003E-3</v>
      </c>
      <c r="H63">
        <v>4.7999999999999996E-3</v>
      </c>
      <c r="I63">
        <v>3.7000000000000002E-3</v>
      </c>
      <c r="J63">
        <v>-5.8999999999999999E-3</v>
      </c>
      <c r="K63">
        <v>2.8E-3</v>
      </c>
      <c r="L63">
        <v>3.7000000000000002E-3</v>
      </c>
      <c r="M63">
        <v>-4.1000000000000003E-3</v>
      </c>
      <c r="N63">
        <v>3.7000000000000002E-3</v>
      </c>
      <c r="O63">
        <v>0.01</v>
      </c>
      <c r="P63">
        <v>1.0699999999999999E-2</v>
      </c>
      <c r="Q63">
        <v>1.44E-2</v>
      </c>
      <c r="R63">
        <v>2.0199999999999999E-2</v>
      </c>
      <c r="S63">
        <v>2.4E-2</v>
      </c>
      <c r="T63">
        <v>2.3199999999999998E-2</v>
      </c>
      <c r="U63">
        <v>1.8599999999999998E-2</v>
      </c>
      <c r="V63">
        <v>1.8499999999999999E-2</v>
      </c>
      <c r="W63">
        <v>3.04E-2</v>
      </c>
      <c r="X63">
        <v>4.2099999999999999E-2</v>
      </c>
      <c r="Y63">
        <v>2.7400000000000001E-2</v>
      </c>
      <c r="Z63">
        <v>2.3E-2</v>
      </c>
      <c r="AA63">
        <v>2.75E-2</v>
      </c>
      <c r="AB63" s="7">
        <v>-0.45600000000000002</v>
      </c>
      <c r="AC63">
        <v>-4.1599999999999998E-2</v>
      </c>
      <c r="AD63">
        <v>-3.0499999999999999E-2</v>
      </c>
      <c r="AE63">
        <v>-3.3599999999999998E-2</v>
      </c>
      <c r="AF63">
        <v>2.4799999999999999E-2</v>
      </c>
      <c r="AG63">
        <v>3.5799999999999998E-2</v>
      </c>
      <c r="AH63" s="10">
        <v>3.6600000000000001E-2</v>
      </c>
      <c r="AI63" s="10">
        <v>4.8000000000000001E-2</v>
      </c>
      <c r="AJ63" s="10">
        <v>5.8299999999999998E-2</v>
      </c>
      <c r="AK63">
        <v>6.6400000000000001E-2</v>
      </c>
      <c r="AL63">
        <v>-6.9599999999999995E-2</v>
      </c>
      <c r="AM63">
        <v>-7.4800000000000005E-2</v>
      </c>
      <c r="AN63">
        <v>-6.2E-2</v>
      </c>
      <c r="AO63">
        <v>-0.20050000000000001</v>
      </c>
    </row>
    <row r="64" spans="5:41" x14ac:dyDescent="0.25">
      <c r="E64">
        <v>4.3E-3</v>
      </c>
      <c r="F64">
        <v>4.7000000000000002E-3</v>
      </c>
      <c r="G64">
        <v>3.7000000000000002E-3</v>
      </c>
      <c r="H64">
        <v>6.1000000000000004E-3</v>
      </c>
      <c r="I64">
        <v>4.7999999999999996E-3</v>
      </c>
      <c r="J64">
        <v>-4.8999999999999998E-3</v>
      </c>
      <c r="K64">
        <v>3.5999999999999999E-3</v>
      </c>
      <c r="L64">
        <v>4.8999999999999998E-3</v>
      </c>
      <c r="M64">
        <v>-4.3E-3</v>
      </c>
      <c r="N64">
        <v>4.7000000000000002E-3</v>
      </c>
      <c r="O64">
        <v>1.0699999999999999E-2</v>
      </c>
      <c r="P64">
        <v>1.15E-2</v>
      </c>
      <c r="Q64">
        <v>1.49E-2</v>
      </c>
      <c r="R64">
        <v>1.9800000000000002E-2</v>
      </c>
      <c r="S64">
        <v>2.24E-2</v>
      </c>
      <c r="T64">
        <v>2.2700000000000001E-2</v>
      </c>
      <c r="U64">
        <v>2.0799999999999999E-2</v>
      </c>
      <c r="V64">
        <v>1.7399999999999999E-2</v>
      </c>
      <c r="W64">
        <v>2.98E-2</v>
      </c>
      <c r="X64">
        <v>4.1200000000000001E-2</v>
      </c>
      <c r="Y64">
        <v>2.5399999999999999E-2</v>
      </c>
      <c r="Z64">
        <v>2.1999999999999999E-2</v>
      </c>
      <c r="AA64">
        <v>2.47E-2</v>
      </c>
      <c r="AB64" s="7">
        <v>-0.4582</v>
      </c>
      <c r="AC64">
        <v>-4.0899999999999999E-2</v>
      </c>
      <c r="AD64">
        <v>-0.03</v>
      </c>
      <c r="AE64">
        <v>-3.3399999999999999E-2</v>
      </c>
      <c r="AF64">
        <v>2.2200000000000001E-2</v>
      </c>
      <c r="AG64">
        <v>3.2199999999999999E-2</v>
      </c>
      <c r="AH64" s="10">
        <v>3.2899999999999999E-2</v>
      </c>
      <c r="AI64" s="10">
        <v>4.3099999999999999E-2</v>
      </c>
      <c r="AJ64" s="10">
        <v>5.5800000000000002E-2</v>
      </c>
      <c r="AK64">
        <v>6.0400000000000002E-2</v>
      </c>
      <c r="AL64">
        <v>-0.13370000000000001</v>
      </c>
      <c r="AM64">
        <v>-0.13519999999999999</v>
      </c>
      <c r="AN64">
        <v>-0.12529999999999999</v>
      </c>
      <c r="AO64">
        <v>-0.26819999999999999</v>
      </c>
    </row>
    <row r="65" spans="5:41" x14ac:dyDescent="0.25">
      <c r="E65">
        <v>1.6999999999999999E-3</v>
      </c>
      <c r="F65">
        <v>1.2999999999999999E-3</v>
      </c>
      <c r="G65">
        <v>-1E-4</v>
      </c>
      <c r="H65">
        <v>3.7000000000000002E-3</v>
      </c>
      <c r="I65">
        <v>1.4E-3</v>
      </c>
      <c r="J65">
        <v>-8.2000000000000007E-3</v>
      </c>
      <c r="K65">
        <v>-2E-3</v>
      </c>
      <c r="L65">
        <v>-1E-4</v>
      </c>
      <c r="M65">
        <v>-7.7000000000000002E-3</v>
      </c>
      <c r="N65">
        <v>2.0000000000000001E-4</v>
      </c>
      <c r="O65">
        <v>8.3000000000000001E-3</v>
      </c>
      <c r="P65">
        <v>6.7999999999999996E-3</v>
      </c>
      <c r="Q65">
        <v>1.14E-2</v>
      </c>
      <c r="R65">
        <v>1.72E-2</v>
      </c>
      <c r="S65">
        <v>1.67E-2</v>
      </c>
      <c r="T65">
        <v>1.6799999999999999E-2</v>
      </c>
      <c r="U65">
        <v>1.5800000000000002E-2</v>
      </c>
      <c r="V65">
        <v>1.1299999999999999E-2</v>
      </c>
      <c r="W65">
        <v>2.3800000000000002E-2</v>
      </c>
      <c r="X65">
        <v>3.6499999999999998E-2</v>
      </c>
      <c r="Y65">
        <v>1.9599999999999999E-2</v>
      </c>
      <c r="Z65">
        <v>1.6299999999999999E-2</v>
      </c>
      <c r="AA65">
        <v>1.66E-2</v>
      </c>
      <c r="AB65" s="7">
        <v>-0.4642</v>
      </c>
      <c r="AC65">
        <v>-4.1599999999999998E-2</v>
      </c>
      <c r="AD65">
        <v>-3.1399999999999997E-2</v>
      </c>
      <c r="AE65">
        <v>-3.5400000000000001E-2</v>
      </c>
      <c r="AF65">
        <v>2.0299999999999999E-2</v>
      </c>
      <c r="AG65">
        <v>3.04E-2</v>
      </c>
      <c r="AH65" s="10">
        <v>3.2800000000000003E-2</v>
      </c>
      <c r="AI65" s="10">
        <v>4.3799999999999999E-2</v>
      </c>
      <c r="AJ65" s="10">
        <v>5.5100000000000003E-2</v>
      </c>
      <c r="AK65">
        <v>6.2E-2</v>
      </c>
      <c r="AL65">
        <v>-0.13070000000000001</v>
      </c>
      <c r="AM65">
        <v>-0.1406</v>
      </c>
      <c r="AN65">
        <v>-0.12839999999999999</v>
      </c>
      <c r="AO65">
        <v>-0.27</v>
      </c>
    </row>
    <row r="66" spans="5:41" x14ac:dyDescent="0.25">
      <c r="E66">
        <v>1.1999999999999999E-3</v>
      </c>
      <c r="F66">
        <v>-2.3E-3</v>
      </c>
      <c r="G66">
        <v>-3.0999999999999999E-3</v>
      </c>
      <c r="H66">
        <v>-1.4E-3</v>
      </c>
      <c r="I66">
        <v>-2E-3</v>
      </c>
      <c r="J66">
        <v>-1.03E-2</v>
      </c>
      <c r="K66">
        <v>-4.3E-3</v>
      </c>
      <c r="L66">
        <v>-1.9E-3</v>
      </c>
      <c r="M66">
        <v>-8.8000000000000005E-3</v>
      </c>
      <c r="N66">
        <v>-2.8E-3</v>
      </c>
      <c r="O66">
        <v>4.5999999999999999E-3</v>
      </c>
      <c r="P66">
        <v>2.2000000000000001E-3</v>
      </c>
      <c r="Q66">
        <v>8.5000000000000006E-3</v>
      </c>
      <c r="R66">
        <v>1.2200000000000001E-2</v>
      </c>
      <c r="S66">
        <v>1.26E-2</v>
      </c>
      <c r="T66">
        <v>1.09E-2</v>
      </c>
      <c r="U66">
        <v>1.15E-2</v>
      </c>
      <c r="V66">
        <v>4.7000000000000002E-3</v>
      </c>
      <c r="W66">
        <v>1.7600000000000001E-2</v>
      </c>
      <c r="X66">
        <v>0.03</v>
      </c>
      <c r="Y66">
        <v>1.2200000000000001E-2</v>
      </c>
      <c r="Z66">
        <v>1.03E-2</v>
      </c>
      <c r="AA66">
        <v>8.9999999999999993E-3</v>
      </c>
      <c r="AB66" s="7">
        <v>-0.47220000000000001</v>
      </c>
      <c r="AC66">
        <v>-4.1500000000000002E-2</v>
      </c>
      <c r="AD66">
        <v>-3.2599999999999997E-2</v>
      </c>
      <c r="AE66">
        <v>-3.6799999999999999E-2</v>
      </c>
      <c r="AF66">
        <v>1.06E-2</v>
      </c>
      <c r="AG66">
        <v>1.9E-2</v>
      </c>
      <c r="AH66" s="10">
        <v>2.0799999999999999E-2</v>
      </c>
      <c r="AI66" s="10">
        <v>2.9499999999999998E-2</v>
      </c>
      <c r="AJ66" s="10">
        <v>3.95E-2</v>
      </c>
      <c r="AK66">
        <v>4.4400000000000002E-2</v>
      </c>
      <c r="AL66">
        <v>-6.6799999999999998E-2</v>
      </c>
      <c r="AM66">
        <v>-8.7400000000000005E-2</v>
      </c>
      <c r="AN66">
        <v>-6.7599999999999993E-2</v>
      </c>
      <c r="AO66">
        <v>-0.21110000000000001</v>
      </c>
    </row>
    <row r="67" spans="5:41" x14ac:dyDescent="0.25">
      <c r="E67">
        <v>6.0000000000000001E-3</v>
      </c>
      <c r="F67">
        <v>-3.8E-3</v>
      </c>
      <c r="G67">
        <v>-2.5000000000000001E-3</v>
      </c>
      <c r="H67">
        <v>-1.4E-3</v>
      </c>
      <c r="I67">
        <v>-2E-3</v>
      </c>
      <c r="J67">
        <v>-8.3999999999999995E-3</v>
      </c>
      <c r="K67">
        <v>-3.0000000000000001E-3</v>
      </c>
      <c r="L67">
        <v>-1.6999999999999999E-3</v>
      </c>
      <c r="M67">
        <v>-1.01E-2</v>
      </c>
      <c r="N67">
        <v>-1.6000000000000001E-3</v>
      </c>
      <c r="O67">
        <v>4.8999999999999998E-3</v>
      </c>
      <c r="P67">
        <v>2.2000000000000001E-3</v>
      </c>
      <c r="Q67">
        <v>1.09E-2</v>
      </c>
      <c r="R67">
        <v>1.1900000000000001E-2</v>
      </c>
      <c r="S67">
        <v>1.2699999999999999E-2</v>
      </c>
      <c r="T67">
        <v>1.04E-2</v>
      </c>
      <c r="U67">
        <v>9.1000000000000004E-3</v>
      </c>
      <c r="V67">
        <v>2.5999999999999999E-3</v>
      </c>
      <c r="W67">
        <v>1.4999999999999999E-2</v>
      </c>
      <c r="X67">
        <v>2.7400000000000001E-2</v>
      </c>
      <c r="Y67">
        <v>9.4999999999999998E-3</v>
      </c>
      <c r="Z67">
        <v>6.4000000000000003E-3</v>
      </c>
      <c r="AA67">
        <v>7.3000000000000001E-3</v>
      </c>
      <c r="AB67" s="7">
        <v>-0.47639999999999999</v>
      </c>
      <c r="AC67">
        <v>-3.9699999999999999E-2</v>
      </c>
      <c r="AD67">
        <v>-3.1300000000000001E-2</v>
      </c>
      <c r="AE67">
        <v>-3.5999999999999997E-2</v>
      </c>
      <c r="AF67">
        <v>7.3000000000000001E-3</v>
      </c>
      <c r="AG67">
        <v>1.4999999999999999E-2</v>
      </c>
      <c r="AH67" s="10">
        <v>1.6400000000000001E-2</v>
      </c>
      <c r="AI67" s="10">
        <v>2.4400000000000002E-2</v>
      </c>
      <c r="AJ67" s="10">
        <v>3.2899999999999999E-2</v>
      </c>
      <c r="AK67">
        <v>3.5999999999999997E-2</v>
      </c>
      <c r="AL67">
        <v>1.7000000000000001E-2</v>
      </c>
      <c r="AM67">
        <v>-1.1599999999999999E-2</v>
      </c>
      <c r="AN67">
        <v>6.1999999999999998E-3</v>
      </c>
      <c r="AO67">
        <v>-0.1308</v>
      </c>
    </row>
    <row r="68" spans="5:41" x14ac:dyDescent="0.25">
      <c r="E68">
        <v>9.5999999999999992E-3</v>
      </c>
      <c r="F68">
        <v>-5.3E-3</v>
      </c>
      <c r="G68">
        <v>-4.8999999999999998E-3</v>
      </c>
      <c r="H68">
        <v>-6.7999999999999996E-3</v>
      </c>
      <c r="I68">
        <v>-4.1999999999999997E-3</v>
      </c>
      <c r="J68">
        <v>-9.4999999999999998E-3</v>
      </c>
      <c r="K68">
        <v>-3.3999999999999998E-3</v>
      </c>
      <c r="L68">
        <v>-1.4E-3</v>
      </c>
      <c r="M68">
        <v>-8.9999999999999993E-3</v>
      </c>
      <c r="N68">
        <v>-3.0000000000000001E-3</v>
      </c>
      <c r="O68">
        <v>2.8E-3</v>
      </c>
      <c r="P68">
        <v>-1E-3</v>
      </c>
      <c r="Q68">
        <v>8.3000000000000001E-3</v>
      </c>
      <c r="R68">
        <v>6.6E-3</v>
      </c>
      <c r="S68">
        <v>8.3999999999999995E-3</v>
      </c>
      <c r="T68">
        <v>7.7999999999999996E-3</v>
      </c>
      <c r="U68">
        <v>4.4000000000000003E-3</v>
      </c>
      <c r="V68">
        <v>2.0000000000000001E-4</v>
      </c>
      <c r="W68">
        <v>1.0200000000000001E-2</v>
      </c>
      <c r="X68">
        <v>1.9E-2</v>
      </c>
      <c r="Y68">
        <v>6.0000000000000001E-3</v>
      </c>
      <c r="Z68">
        <v>1.9E-3</v>
      </c>
      <c r="AA68">
        <v>3.2000000000000002E-3</v>
      </c>
      <c r="AB68" s="7">
        <v>-0.48320000000000002</v>
      </c>
      <c r="AC68">
        <v>-3.7600000000000001E-2</v>
      </c>
      <c r="AD68">
        <v>-0.03</v>
      </c>
      <c r="AE68">
        <v>-3.5799999999999998E-2</v>
      </c>
      <c r="AF68">
        <v>-4.7999999999999996E-3</v>
      </c>
      <c r="AG68">
        <v>5.9999999999999995E-4</v>
      </c>
      <c r="AH68" s="10">
        <v>2E-3</v>
      </c>
      <c r="AI68" s="10">
        <v>6.0000000000000001E-3</v>
      </c>
      <c r="AJ68" s="10">
        <v>1.32E-2</v>
      </c>
      <c r="AK68">
        <v>1.2200000000000001E-2</v>
      </c>
      <c r="AL68">
        <v>6.4299999999999996E-2</v>
      </c>
      <c r="AM68">
        <v>2.9399999999999999E-2</v>
      </c>
      <c r="AN68">
        <v>4.5999999999999999E-2</v>
      </c>
      <c r="AO68">
        <v>-8.9899999999999994E-2</v>
      </c>
    </row>
    <row r="69" spans="5:41" x14ac:dyDescent="0.25">
      <c r="E69">
        <v>7.3000000000000001E-3</v>
      </c>
      <c r="F69">
        <v>-7.9000000000000008E-3</v>
      </c>
      <c r="G69">
        <v>-4.8999999999999998E-3</v>
      </c>
      <c r="H69">
        <v>-9.7999999999999997E-3</v>
      </c>
      <c r="I69">
        <v>-5.3E-3</v>
      </c>
      <c r="J69">
        <v>-1.01E-2</v>
      </c>
      <c r="K69">
        <v>-3.3999999999999998E-3</v>
      </c>
      <c r="L69">
        <v>-1.2999999999999999E-3</v>
      </c>
      <c r="M69">
        <v>-8.8000000000000005E-3</v>
      </c>
      <c r="N69">
        <v>-3.7000000000000002E-3</v>
      </c>
      <c r="O69">
        <v>4.0000000000000002E-4</v>
      </c>
      <c r="P69">
        <v>-2.5999999999999999E-3</v>
      </c>
      <c r="Q69">
        <v>4.7999999999999996E-3</v>
      </c>
      <c r="R69">
        <v>1.1999999999999999E-3</v>
      </c>
      <c r="S69">
        <v>3.5999999999999999E-3</v>
      </c>
      <c r="T69">
        <v>4.5999999999999999E-3</v>
      </c>
      <c r="U69">
        <v>2.0000000000000001E-4</v>
      </c>
      <c r="V69">
        <v>-3.0999999999999999E-3</v>
      </c>
      <c r="W69">
        <v>5.4999999999999997E-3</v>
      </c>
      <c r="X69">
        <v>1.18E-2</v>
      </c>
      <c r="Y69">
        <v>1E-4</v>
      </c>
      <c r="Z69">
        <v>-3.0000000000000001E-3</v>
      </c>
      <c r="AA69">
        <v>-1.1999999999999999E-3</v>
      </c>
      <c r="AB69" s="7">
        <v>-0.49059999999999998</v>
      </c>
      <c r="AC69">
        <v>-3.44E-2</v>
      </c>
      <c r="AD69">
        <v>-2.8000000000000001E-2</v>
      </c>
      <c r="AE69">
        <v>-3.49E-2</v>
      </c>
      <c r="AF69">
        <v>-1.4999999999999999E-2</v>
      </c>
      <c r="AG69">
        <v>-1.12E-2</v>
      </c>
      <c r="AH69" s="10">
        <v>-1.06E-2</v>
      </c>
      <c r="AI69" s="10">
        <v>-7.3000000000000001E-3</v>
      </c>
      <c r="AJ69" s="10">
        <v>-2.8999999999999998E-3</v>
      </c>
      <c r="AK69">
        <v>-5.4999999999999997E-3</v>
      </c>
      <c r="AL69">
        <v>7.7600000000000002E-2</v>
      </c>
      <c r="AM69">
        <v>5.2299999999999999E-2</v>
      </c>
      <c r="AN69">
        <v>6.5000000000000002E-2</v>
      </c>
      <c r="AO69">
        <v>-7.3300000000000004E-2</v>
      </c>
    </row>
    <row r="70" spans="5:41" x14ac:dyDescent="0.25">
      <c r="E70">
        <v>5.7999999999999996E-3</v>
      </c>
      <c r="F70">
        <v>-4.4000000000000003E-3</v>
      </c>
      <c r="G70">
        <v>-3.5000000000000001E-3</v>
      </c>
      <c r="H70">
        <v>-3.8E-3</v>
      </c>
      <c r="I70">
        <v>-1.2999999999999999E-3</v>
      </c>
      <c r="J70">
        <v>-2.5000000000000001E-3</v>
      </c>
      <c r="K70">
        <v>-1.4E-3</v>
      </c>
      <c r="L70">
        <v>-1.2999999999999999E-3</v>
      </c>
      <c r="M70">
        <v>-3.8E-3</v>
      </c>
      <c r="N70">
        <v>2.0000000000000001E-4</v>
      </c>
      <c r="O70">
        <v>1.1999999999999999E-3</v>
      </c>
      <c r="P70">
        <v>-2.5999999999999999E-3</v>
      </c>
      <c r="Q70">
        <v>4.4000000000000003E-3</v>
      </c>
      <c r="R70">
        <v>2.5000000000000001E-3</v>
      </c>
      <c r="S70">
        <v>3.5000000000000001E-3</v>
      </c>
      <c r="T70">
        <v>3.5000000000000001E-3</v>
      </c>
      <c r="U70">
        <v>3.2000000000000002E-3</v>
      </c>
      <c r="V70">
        <v>-1E-3</v>
      </c>
      <c r="W70">
        <v>5.0000000000000001E-3</v>
      </c>
      <c r="X70">
        <v>9.5999999999999992E-3</v>
      </c>
      <c r="Y70">
        <v>1.6999999999999999E-3</v>
      </c>
      <c r="Z70">
        <v>-4.0000000000000002E-4</v>
      </c>
      <c r="AA70">
        <v>1.9E-3</v>
      </c>
      <c r="AB70" s="7">
        <v>-0.48559999999999998</v>
      </c>
      <c r="AC70">
        <v>-2.0199999999999999E-2</v>
      </c>
      <c r="AD70">
        <v>-1.37E-2</v>
      </c>
      <c r="AE70">
        <v>-2.1499999999999998E-2</v>
      </c>
      <c r="AF70">
        <v>-5.0000000000000001E-3</v>
      </c>
      <c r="AG70">
        <v>-8.0000000000000002E-3</v>
      </c>
      <c r="AH70" s="10">
        <v>-7.1999999999999998E-3</v>
      </c>
      <c r="AI70" s="10">
        <v>-5.1999999999999998E-3</v>
      </c>
      <c r="AJ70" s="10">
        <v>-2.8999999999999998E-3</v>
      </c>
      <c r="AK70">
        <v>-6.4000000000000003E-3</v>
      </c>
      <c r="AL70">
        <v>2.1700000000000001E-2</v>
      </c>
      <c r="AM70">
        <v>1.1299999999999999E-2</v>
      </c>
      <c r="AN70">
        <v>1.5699999999999999E-2</v>
      </c>
      <c r="AO70">
        <v>-9.1899999999999996E-2</v>
      </c>
    </row>
    <row r="71" spans="5:41" x14ac:dyDescent="0.25">
      <c r="AM71">
        <v>0</v>
      </c>
      <c r="AN71">
        <v>0</v>
      </c>
    </row>
  </sheetData>
  <mergeCells count="1">
    <mergeCell ref="N2:S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2022-03-11T12:01:48Z</dcterms:modified>
</cp:coreProperties>
</file>
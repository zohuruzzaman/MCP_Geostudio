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840"/>
  </bookViews>
  <sheets>
    <sheet name="Sheet1 (Editted) (2)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32" i="4" l="1"/>
  <c r="AO33" i="4"/>
  <c r="AO34" i="4"/>
  <c r="AO35" i="4"/>
  <c r="AO36" i="4"/>
  <c r="AO37" i="4"/>
  <c r="AO38" i="4"/>
  <c r="AO39" i="4"/>
  <c r="AO40" i="4"/>
  <c r="AO41" i="4"/>
  <c r="AO42" i="4"/>
  <c r="AO43" i="4"/>
  <c r="AO44" i="4"/>
  <c r="AO31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7" i="4"/>
  <c r="AN32" i="4" l="1"/>
  <c r="AN33" i="4"/>
  <c r="AN34" i="4"/>
  <c r="AN35" i="4"/>
  <c r="AN36" i="4"/>
  <c r="AN37" i="4"/>
  <c r="AN38" i="4"/>
  <c r="AN39" i="4"/>
  <c r="AN40" i="4"/>
  <c r="AN41" i="4"/>
  <c r="AN42" i="4"/>
  <c r="AN43" i="4"/>
  <c r="AN44" i="4"/>
  <c r="AN31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7" i="4"/>
  <c r="AK32" i="4" l="1"/>
  <c r="AL32" i="4"/>
  <c r="AM32" i="4"/>
  <c r="AK33" i="4"/>
  <c r="AL33" i="4"/>
  <c r="AM33" i="4"/>
  <c r="AK34" i="4"/>
  <c r="AL34" i="4"/>
  <c r="AM34" i="4"/>
  <c r="AK35" i="4"/>
  <c r="AL35" i="4"/>
  <c r="AM35" i="4"/>
  <c r="AK36" i="4"/>
  <c r="AL36" i="4"/>
  <c r="AM36" i="4"/>
  <c r="AK37" i="4"/>
  <c r="AL37" i="4"/>
  <c r="AM37" i="4"/>
  <c r="AK38" i="4"/>
  <c r="AL38" i="4"/>
  <c r="AM38" i="4"/>
  <c r="AK39" i="4"/>
  <c r="AL39" i="4"/>
  <c r="AM39" i="4"/>
  <c r="AK40" i="4"/>
  <c r="AL40" i="4"/>
  <c r="AM40" i="4"/>
  <c r="AK41" i="4"/>
  <c r="AL41" i="4"/>
  <c r="AM41" i="4"/>
  <c r="AK42" i="4"/>
  <c r="AL42" i="4"/>
  <c r="AM42" i="4"/>
  <c r="AK43" i="4"/>
  <c r="AL43" i="4"/>
  <c r="AM43" i="4"/>
  <c r="AK44" i="4"/>
  <c r="AL44" i="4"/>
  <c r="AM44" i="4"/>
  <c r="AK31" i="4"/>
  <c r="AL31" i="4"/>
  <c r="AM31" i="4"/>
  <c r="AK8" i="4"/>
  <c r="AL8" i="4"/>
  <c r="AM8" i="4"/>
  <c r="AK9" i="4"/>
  <c r="AL9" i="4"/>
  <c r="AM9" i="4"/>
  <c r="AK10" i="4"/>
  <c r="AL10" i="4"/>
  <c r="AM10" i="4"/>
  <c r="AK11" i="4"/>
  <c r="AL11" i="4"/>
  <c r="AM11" i="4"/>
  <c r="AK12" i="4"/>
  <c r="AL12" i="4"/>
  <c r="AM12" i="4"/>
  <c r="AK13" i="4"/>
  <c r="AL13" i="4"/>
  <c r="AM13" i="4"/>
  <c r="AK14" i="4"/>
  <c r="AL14" i="4"/>
  <c r="AM14" i="4"/>
  <c r="AK15" i="4"/>
  <c r="AL15" i="4"/>
  <c r="AM15" i="4"/>
  <c r="AK16" i="4"/>
  <c r="AL16" i="4"/>
  <c r="AM16" i="4"/>
  <c r="AK17" i="4"/>
  <c r="AL17" i="4"/>
  <c r="AM17" i="4"/>
  <c r="AK18" i="4"/>
  <c r="AL18" i="4"/>
  <c r="AM18" i="4"/>
  <c r="AK19" i="4"/>
  <c r="AL19" i="4"/>
  <c r="AM19" i="4"/>
  <c r="AK20" i="4"/>
  <c r="AL20" i="4"/>
  <c r="AM20" i="4"/>
  <c r="AK7" i="4"/>
  <c r="AL7" i="4"/>
  <c r="AM7" i="4"/>
  <c r="AH32" i="4" l="1"/>
  <c r="AI32" i="4"/>
  <c r="AJ32" i="4"/>
  <c r="AH33" i="4"/>
  <c r="AI33" i="4"/>
  <c r="AJ33" i="4"/>
  <c r="AH34" i="4"/>
  <c r="AI34" i="4"/>
  <c r="AJ34" i="4"/>
  <c r="AH35" i="4"/>
  <c r="AI35" i="4"/>
  <c r="AJ35" i="4"/>
  <c r="AH36" i="4"/>
  <c r="AI36" i="4"/>
  <c r="AJ36" i="4"/>
  <c r="AH37" i="4"/>
  <c r="AI37" i="4"/>
  <c r="AJ37" i="4"/>
  <c r="AH38" i="4"/>
  <c r="AI38" i="4"/>
  <c r="AJ38" i="4"/>
  <c r="AH39" i="4"/>
  <c r="AI39" i="4"/>
  <c r="AJ39" i="4"/>
  <c r="AH40" i="4"/>
  <c r="AI40" i="4"/>
  <c r="AJ40" i="4"/>
  <c r="AH41" i="4"/>
  <c r="AI41" i="4"/>
  <c r="AJ41" i="4"/>
  <c r="AH42" i="4"/>
  <c r="AI42" i="4"/>
  <c r="AJ42" i="4"/>
  <c r="AH43" i="4"/>
  <c r="AI43" i="4"/>
  <c r="AJ43" i="4"/>
  <c r="AH44" i="4"/>
  <c r="AI44" i="4"/>
  <c r="AJ44" i="4"/>
  <c r="AH31" i="4"/>
  <c r="AI31" i="4"/>
  <c r="AJ31" i="4"/>
  <c r="AH8" i="4"/>
  <c r="AI8" i="4"/>
  <c r="AJ8" i="4"/>
  <c r="AH9" i="4"/>
  <c r="AI9" i="4"/>
  <c r="AJ9" i="4"/>
  <c r="AH10" i="4"/>
  <c r="AI10" i="4"/>
  <c r="AJ10" i="4"/>
  <c r="AH11" i="4"/>
  <c r="AI11" i="4"/>
  <c r="AJ11" i="4"/>
  <c r="AH12" i="4"/>
  <c r="AI12" i="4"/>
  <c r="AJ12" i="4"/>
  <c r="AH13" i="4"/>
  <c r="AI13" i="4"/>
  <c r="AJ13" i="4"/>
  <c r="AH14" i="4"/>
  <c r="AI14" i="4"/>
  <c r="AJ14" i="4"/>
  <c r="AH15" i="4"/>
  <c r="AI15" i="4"/>
  <c r="AJ15" i="4"/>
  <c r="AH16" i="4"/>
  <c r="AI16" i="4"/>
  <c r="AJ16" i="4"/>
  <c r="AH17" i="4"/>
  <c r="AI17" i="4"/>
  <c r="AJ17" i="4"/>
  <c r="AH18" i="4"/>
  <c r="AI18" i="4"/>
  <c r="AJ18" i="4"/>
  <c r="AH19" i="4"/>
  <c r="AI19" i="4"/>
  <c r="AJ19" i="4"/>
  <c r="AH20" i="4"/>
  <c r="AI20" i="4"/>
  <c r="AJ20" i="4"/>
  <c r="AH7" i="4"/>
  <c r="AI7" i="4"/>
  <c r="AJ7" i="4"/>
  <c r="AF32" i="4" l="1"/>
  <c r="AG32" i="4"/>
  <c r="AF33" i="4"/>
  <c r="AG33" i="4"/>
  <c r="AF34" i="4"/>
  <c r="AG34" i="4"/>
  <c r="AF35" i="4"/>
  <c r="AG35" i="4"/>
  <c r="AF36" i="4"/>
  <c r="AG36" i="4"/>
  <c r="AF37" i="4"/>
  <c r="AG37" i="4"/>
  <c r="AF38" i="4"/>
  <c r="AG38" i="4"/>
  <c r="AF39" i="4"/>
  <c r="AG39" i="4"/>
  <c r="AF40" i="4"/>
  <c r="AG40" i="4"/>
  <c r="AF41" i="4"/>
  <c r="AG41" i="4"/>
  <c r="AF42" i="4"/>
  <c r="AG42" i="4"/>
  <c r="AF43" i="4"/>
  <c r="AG43" i="4"/>
  <c r="AF44" i="4"/>
  <c r="AG44" i="4"/>
  <c r="AF45" i="4"/>
  <c r="AG45" i="4"/>
  <c r="AF46" i="4"/>
  <c r="AG46" i="4"/>
  <c r="AF31" i="4"/>
  <c r="AG31" i="4"/>
  <c r="AF8" i="4"/>
  <c r="AG8" i="4"/>
  <c r="AF9" i="4"/>
  <c r="AG9" i="4"/>
  <c r="AF10" i="4"/>
  <c r="AG10" i="4"/>
  <c r="AF11" i="4"/>
  <c r="AG11" i="4"/>
  <c r="AF12" i="4"/>
  <c r="AG12" i="4"/>
  <c r="AF13" i="4"/>
  <c r="AG13" i="4"/>
  <c r="AF14" i="4"/>
  <c r="AG14" i="4"/>
  <c r="AF15" i="4"/>
  <c r="AG15" i="4"/>
  <c r="AF16" i="4"/>
  <c r="AG16" i="4"/>
  <c r="AF17" i="4"/>
  <c r="AG17" i="4"/>
  <c r="AF18" i="4"/>
  <c r="AG18" i="4"/>
  <c r="AF19" i="4"/>
  <c r="AG19" i="4"/>
  <c r="AF20" i="4"/>
  <c r="AG20" i="4"/>
  <c r="AF21" i="4"/>
  <c r="AG21" i="4"/>
  <c r="AF22" i="4"/>
  <c r="AG22" i="4"/>
  <c r="AF7" i="4"/>
  <c r="AG7" i="4"/>
  <c r="AC32" i="4" l="1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C43" i="4"/>
  <c r="AD43" i="4"/>
  <c r="AE43" i="4"/>
  <c r="AC44" i="4"/>
  <c r="AD44" i="4"/>
  <c r="AE44" i="4"/>
  <c r="AC31" i="4"/>
  <c r="AD31" i="4"/>
  <c r="AE31" i="4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7" i="4"/>
  <c r="AD7" i="4"/>
  <c r="AE7" i="4"/>
  <c r="AA32" i="4" l="1"/>
  <c r="AB32" i="4"/>
  <c r="AA33" i="4"/>
  <c r="AB33" i="4"/>
  <c r="AA34" i="4"/>
  <c r="AB34" i="4"/>
  <c r="AA35" i="4"/>
  <c r="AB35" i="4"/>
  <c r="AA36" i="4"/>
  <c r="AB36" i="4"/>
  <c r="AA37" i="4"/>
  <c r="AB37" i="4"/>
  <c r="AA38" i="4"/>
  <c r="AB38" i="4"/>
  <c r="AA39" i="4"/>
  <c r="AB39" i="4"/>
  <c r="AA40" i="4"/>
  <c r="AB40" i="4"/>
  <c r="AA41" i="4"/>
  <c r="AB41" i="4"/>
  <c r="AA42" i="4"/>
  <c r="AB42" i="4"/>
  <c r="AA43" i="4"/>
  <c r="AB43" i="4"/>
  <c r="AA44" i="4"/>
  <c r="AB44" i="4"/>
  <c r="AA31" i="4"/>
  <c r="AB31" i="4"/>
  <c r="AA8" i="4"/>
  <c r="AB8" i="4"/>
  <c r="AA9" i="4"/>
  <c r="AB9" i="4"/>
  <c r="AA10" i="4"/>
  <c r="AB10" i="4"/>
  <c r="AA11" i="4"/>
  <c r="AB11" i="4"/>
  <c r="AA12" i="4"/>
  <c r="AB12" i="4"/>
  <c r="AA13" i="4"/>
  <c r="AB13" i="4"/>
  <c r="AA14" i="4"/>
  <c r="AB14" i="4"/>
  <c r="AA15" i="4"/>
  <c r="AB15" i="4"/>
  <c r="AA16" i="4"/>
  <c r="AB16" i="4"/>
  <c r="AA17" i="4"/>
  <c r="AB17" i="4"/>
  <c r="AA18" i="4"/>
  <c r="AB18" i="4"/>
  <c r="AA19" i="4"/>
  <c r="AB19" i="4"/>
  <c r="AA20" i="4"/>
  <c r="AB20" i="4"/>
  <c r="AA7" i="4"/>
  <c r="AB7" i="4"/>
  <c r="X32" i="4" l="1"/>
  <c r="Y32" i="4"/>
  <c r="Z32" i="4"/>
  <c r="X33" i="4"/>
  <c r="Y33" i="4"/>
  <c r="Z33" i="4"/>
  <c r="X34" i="4"/>
  <c r="Y34" i="4"/>
  <c r="Z34" i="4"/>
  <c r="X35" i="4"/>
  <c r="Y35" i="4"/>
  <c r="Z35" i="4"/>
  <c r="X36" i="4"/>
  <c r="Y36" i="4"/>
  <c r="Z36" i="4"/>
  <c r="X37" i="4"/>
  <c r="Y37" i="4"/>
  <c r="Z37" i="4"/>
  <c r="X38" i="4"/>
  <c r="Y38" i="4"/>
  <c r="Z38" i="4"/>
  <c r="X39" i="4"/>
  <c r="Y39" i="4"/>
  <c r="Z39" i="4"/>
  <c r="X40" i="4"/>
  <c r="Y40" i="4"/>
  <c r="Z40" i="4"/>
  <c r="X41" i="4"/>
  <c r="Y41" i="4"/>
  <c r="Z41" i="4"/>
  <c r="X42" i="4"/>
  <c r="Y42" i="4"/>
  <c r="Z42" i="4"/>
  <c r="X43" i="4"/>
  <c r="Y43" i="4"/>
  <c r="Z43" i="4"/>
  <c r="X44" i="4"/>
  <c r="Y44" i="4"/>
  <c r="Z44" i="4"/>
  <c r="X31" i="4"/>
  <c r="Y31" i="4"/>
  <c r="Z31" i="4"/>
  <c r="X8" i="4"/>
  <c r="Y8" i="4"/>
  <c r="Z8" i="4"/>
  <c r="X9" i="4"/>
  <c r="Y9" i="4"/>
  <c r="Z9" i="4"/>
  <c r="X10" i="4"/>
  <c r="Y10" i="4"/>
  <c r="Z10" i="4"/>
  <c r="X11" i="4"/>
  <c r="Y11" i="4"/>
  <c r="Z11" i="4"/>
  <c r="X12" i="4"/>
  <c r="Y12" i="4"/>
  <c r="Z12" i="4"/>
  <c r="X13" i="4"/>
  <c r="Y13" i="4"/>
  <c r="Z13" i="4"/>
  <c r="X14" i="4"/>
  <c r="Y14" i="4"/>
  <c r="Z14" i="4"/>
  <c r="X15" i="4"/>
  <c r="Y15" i="4"/>
  <c r="Z15" i="4"/>
  <c r="X16" i="4"/>
  <c r="Y16" i="4"/>
  <c r="Z16" i="4"/>
  <c r="X17" i="4"/>
  <c r="Y17" i="4"/>
  <c r="Z17" i="4"/>
  <c r="X18" i="4"/>
  <c r="Y18" i="4"/>
  <c r="Z18" i="4"/>
  <c r="X19" i="4"/>
  <c r="Y19" i="4"/>
  <c r="Z19" i="4"/>
  <c r="X20" i="4"/>
  <c r="Y20" i="4"/>
  <c r="Z20" i="4"/>
  <c r="X7" i="4"/>
  <c r="Y7" i="4"/>
  <c r="Z7" i="4"/>
  <c r="W46" i="4" l="1"/>
  <c r="W45" i="4"/>
  <c r="D45" i="4"/>
  <c r="D46" i="4" s="1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A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A43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A42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A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A40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A39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A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A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A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A34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A33" i="4"/>
  <c r="W32" i="4"/>
  <c r="V32" i="4"/>
  <c r="U32" i="4"/>
  <c r="T32" i="4"/>
  <c r="S32" i="4"/>
  <c r="S45" i="4" s="1"/>
  <c r="S46" i="4" s="1"/>
  <c r="R32" i="4"/>
  <c r="Q32" i="4"/>
  <c r="P32" i="4"/>
  <c r="O32" i="4"/>
  <c r="N32" i="4"/>
  <c r="M32" i="4"/>
  <c r="L32" i="4"/>
  <c r="L45" i="4" s="1"/>
  <c r="L46" i="4" s="1"/>
  <c r="K32" i="4"/>
  <c r="J32" i="4"/>
  <c r="I32" i="4"/>
  <c r="H32" i="4"/>
  <c r="G32" i="4"/>
  <c r="F32" i="4"/>
  <c r="E32" i="4"/>
  <c r="A32" i="4"/>
  <c r="W31" i="4"/>
  <c r="V31" i="4"/>
  <c r="U31" i="4"/>
  <c r="T31" i="4"/>
  <c r="S31" i="4"/>
  <c r="R31" i="4"/>
  <c r="Q31" i="4"/>
  <c r="P31" i="4"/>
  <c r="P45" i="4" s="1"/>
  <c r="P46" i="4" s="1"/>
  <c r="O31" i="4"/>
  <c r="O45" i="4" s="1"/>
  <c r="O46" i="4" s="1"/>
  <c r="N31" i="4"/>
  <c r="M31" i="4"/>
  <c r="L31" i="4"/>
  <c r="K31" i="4"/>
  <c r="J31" i="4"/>
  <c r="I31" i="4"/>
  <c r="H31" i="4"/>
  <c r="H45" i="4" s="1"/>
  <c r="H46" i="4" s="1"/>
  <c r="G31" i="4"/>
  <c r="G45" i="4" s="1"/>
  <c r="G46" i="4" s="1"/>
  <c r="F31" i="4"/>
  <c r="F45" i="4" s="1"/>
  <c r="F46" i="4" s="1"/>
  <c r="E31" i="4"/>
  <c r="A31" i="4"/>
  <c r="R45" i="4"/>
  <c r="R46" i="4" s="1"/>
  <c r="Q45" i="4"/>
  <c r="Q46" i="4" s="1"/>
  <c r="M45" i="4"/>
  <c r="M46" i="4" s="1"/>
  <c r="K45" i="4"/>
  <c r="K46" i="4" s="1"/>
  <c r="J45" i="4"/>
  <c r="J46" i="4" s="1"/>
  <c r="I45" i="4"/>
  <c r="I46" i="4" s="1"/>
  <c r="E45" i="4"/>
  <c r="E46" i="4" s="1"/>
  <c r="A30" i="4"/>
  <c r="W22" i="4"/>
  <c r="W21" i="4"/>
  <c r="D21" i="4"/>
  <c r="D22" i="4" s="1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H21" i="4" s="1"/>
  <c r="G20" i="4"/>
  <c r="F20" i="4"/>
  <c r="E20" i="4"/>
  <c r="A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A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A18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A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A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A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A14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A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A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A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A10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A9" i="4"/>
  <c r="W8" i="4"/>
  <c r="V8" i="4"/>
  <c r="U8" i="4"/>
  <c r="T8" i="4"/>
  <c r="S8" i="4"/>
  <c r="R8" i="4"/>
  <c r="Q8" i="4"/>
  <c r="P8" i="4"/>
  <c r="O8" i="4"/>
  <c r="O21" i="4" s="1"/>
  <c r="O22" i="4" s="1"/>
  <c r="N8" i="4"/>
  <c r="M8" i="4"/>
  <c r="L8" i="4"/>
  <c r="K8" i="4"/>
  <c r="J8" i="4"/>
  <c r="I8" i="4"/>
  <c r="H8" i="4"/>
  <c r="G8" i="4"/>
  <c r="G21" i="4" s="1"/>
  <c r="G22" i="4" s="1"/>
  <c r="F8" i="4"/>
  <c r="E8" i="4"/>
  <c r="A8" i="4"/>
  <c r="W7" i="4"/>
  <c r="V7" i="4"/>
  <c r="U7" i="4"/>
  <c r="T7" i="4"/>
  <c r="S7" i="4"/>
  <c r="R7" i="4"/>
  <c r="Q7" i="4"/>
  <c r="P7" i="4"/>
  <c r="O7" i="4"/>
  <c r="N7" i="4"/>
  <c r="M7" i="4"/>
  <c r="L7" i="4"/>
  <c r="L21" i="4" s="1"/>
  <c r="L22" i="4" s="1"/>
  <c r="K7" i="4"/>
  <c r="J7" i="4"/>
  <c r="J21" i="4" s="1"/>
  <c r="J22" i="4" s="1"/>
  <c r="I7" i="4"/>
  <c r="I21" i="4" s="1"/>
  <c r="I22" i="4" s="1"/>
  <c r="H7" i="4"/>
  <c r="G7" i="4"/>
  <c r="F7" i="4"/>
  <c r="E7" i="4"/>
  <c r="A7" i="4"/>
  <c r="P21" i="4"/>
  <c r="P22" i="4" s="1"/>
  <c r="M21" i="4"/>
  <c r="M22" i="4" s="1"/>
  <c r="E21" i="4"/>
  <c r="E22" i="4" s="1"/>
  <c r="A6" i="4"/>
  <c r="N21" i="4" l="1"/>
  <c r="N22" i="4" s="1"/>
  <c r="F21" i="4"/>
  <c r="F22" i="4" s="1"/>
  <c r="R21" i="4"/>
  <c r="R22" i="4" s="1"/>
  <c r="Q21" i="4"/>
  <c r="Q22" i="4" s="1"/>
  <c r="K21" i="4"/>
  <c r="K22" i="4" s="1"/>
  <c r="S21" i="4"/>
  <c r="S22" i="4" s="1"/>
  <c r="N45" i="4"/>
  <c r="N46" i="4" s="1"/>
</calcChain>
</file>

<file path=xl/sharedStrings.xml><?xml version="1.0" encoding="utf-8"?>
<sst xmlns="http://schemas.openxmlformats.org/spreadsheetml/2006/main" count="22" uniqueCount="16">
  <si>
    <t>Profile_Change</t>
  </si>
  <si>
    <t>2Y 1 A</t>
  </si>
  <si>
    <t>Depth in Feet</t>
  </si>
  <si>
    <t xml:space="preserve"> Units: </t>
  </si>
  <si>
    <t>Profile Change in Inches</t>
  </si>
  <si>
    <t>Depth</t>
  </si>
  <si>
    <t>2Y 1 B</t>
  </si>
  <si>
    <t>the first row was deleted since 3' pipe is above the ground
and also the depth should be up to 30'</t>
  </si>
  <si>
    <t>A</t>
  </si>
  <si>
    <t>B</t>
  </si>
  <si>
    <t>FOR SI1 A-RAW NUMBERS</t>
  </si>
  <si>
    <t>FOR SI1 B-RAW NUMBERS</t>
  </si>
  <si>
    <t>PROCESSED AFTER ALPH DEVIATED DEGREE APPLIED</t>
  </si>
  <si>
    <t>Displacement=B cos alpa + A sin alpha</t>
  </si>
  <si>
    <t>A &amp; B are indicators in Slope inclinometer (SI)</t>
  </si>
  <si>
    <t>the deviated degree in this slope is 42 degree (failed slope)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</si>
</sst>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5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Metro Center Slope-SI 1A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'Sheet1 (Editted) (2)'!$D$5</c:f>
              <c:strCache>
                <c:ptCount val="1"/>
                <c:pt idx="0">
                  <c:v>10/6/2018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(2)'!$D$6:$D$20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FB-425E-87FF-F52BCC5935B9}"/>
            </c:ext>
          </c:extLst>
        </c:ser>
        <c:ser>
          <c:idx val="1"/>
          <c:order val="1"/>
          <c:tx>
            <c:strRef>
              <c:f>'Sheet1 (Editted) (2)'!$E$5</c:f>
              <c:strCache>
                <c:ptCount val="1"/>
                <c:pt idx="0">
                  <c:v>10/31/2018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(2)'!$E$6:$E$20</c:f>
              <c:numCache>
                <c:formatCode>General</c:formatCode>
                <c:ptCount val="15"/>
                <c:pt idx="1">
                  <c:v>4.1486097594249207E-3</c:v>
                </c:pt>
                <c:pt idx="2">
                  <c:v>4.8846534264196653E-3</c:v>
                </c:pt>
                <c:pt idx="3">
                  <c:v>1.5390003946253738E-3</c:v>
                </c:pt>
                <c:pt idx="4">
                  <c:v>2.4757832435277757E-3</c:v>
                </c:pt>
                <c:pt idx="5">
                  <c:v>2.4088701828918896E-3</c:v>
                </c:pt>
                <c:pt idx="6">
                  <c:v>4.8177403657837792E-3</c:v>
                </c:pt>
                <c:pt idx="7">
                  <c:v>1.0170785216654646E-2</c:v>
                </c:pt>
                <c:pt idx="8">
                  <c:v>2.6765224254354332E-3</c:v>
                </c:pt>
                <c:pt idx="9">
                  <c:v>6.022175457229724E-3</c:v>
                </c:pt>
                <c:pt idx="10">
                  <c:v>1.7397395765330313E-3</c:v>
                </c:pt>
                <c:pt idx="11">
                  <c:v>2.4757832435277757E-3</c:v>
                </c:pt>
                <c:pt idx="12">
                  <c:v>4.0147836381531493E-3</c:v>
                </c:pt>
                <c:pt idx="13">
                  <c:v>4.8846534264196653E-3</c:v>
                </c:pt>
                <c:pt idx="14">
                  <c:v>2.7434354860713188E-3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FB-425E-87FF-F52BCC5935B9}"/>
            </c:ext>
          </c:extLst>
        </c:ser>
        <c:ser>
          <c:idx val="2"/>
          <c:order val="2"/>
          <c:tx>
            <c:strRef>
              <c:f>'Sheet1 (Editted) (2)'!$F$5</c:f>
              <c:strCache>
                <c:ptCount val="1"/>
                <c:pt idx="0">
                  <c:v>11/13/2018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(2)'!$F$6:$F$20</c:f>
              <c:numCache>
                <c:formatCode>General</c:formatCode>
                <c:ptCount val="15"/>
                <c:pt idx="1">
                  <c:v>3.5463922137019487E-3</c:v>
                </c:pt>
                <c:pt idx="2">
                  <c:v>6.6913060635885829E-4</c:v>
                </c:pt>
                <c:pt idx="3">
                  <c:v>2.0073918190765747E-3</c:v>
                </c:pt>
                <c:pt idx="4">
                  <c:v>5.4868709721426377E-3</c:v>
                </c:pt>
                <c:pt idx="5">
                  <c:v>3.3456530317942915E-4</c:v>
                </c:pt>
                <c:pt idx="6">
                  <c:v>9.3678284890240154E-4</c:v>
                </c:pt>
                <c:pt idx="7">
                  <c:v>5.3530448508708663E-3</c:v>
                </c:pt>
                <c:pt idx="8">
                  <c:v>4.6839142445120077E-4</c:v>
                </c:pt>
                <c:pt idx="9">
                  <c:v>8.0295672763062986E-3</c:v>
                </c:pt>
                <c:pt idx="10">
                  <c:v>4.7508273051478939E-3</c:v>
                </c:pt>
                <c:pt idx="11">
                  <c:v>5.2192187295990941E-3</c:v>
                </c:pt>
                <c:pt idx="12">
                  <c:v>5.0853926083273228E-3</c:v>
                </c:pt>
                <c:pt idx="13">
                  <c:v>5.5537840327785238E-3</c:v>
                </c:pt>
                <c:pt idx="14">
                  <c:v>1.5390003946253738E-3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FB-425E-87FF-F52BCC5935B9}"/>
            </c:ext>
          </c:extLst>
        </c:ser>
        <c:ser>
          <c:idx val="3"/>
          <c:order val="3"/>
          <c:tx>
            <c:strRef>
              <c:f>'Sheet1 (Editted) (2)'!$G$5</c:f>
              <c:strCache>
                <c:ptCount val="1"/>
                <c:pt idx="0">
                  <c:v>12/5/2018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(2)'!$G$6:$G$20</c:f>
              <c:numCache>
                <c:formatCode>General</c:formatCode>
                <c:ptCount val="15"/>
                <c:pt idx="1">
                  <c:v>1.3114959884633621E-2</c:v>
                </c:pt>
                <c:pt idx="2">
                  <c:v>1.0706089701741732E-3</c:v>
                </c:pt>
                <c:pt idx="3">
                  <c:v>2.6765224254354331E-4</c:v>
                </c:pt>
                <c:pt idx="4">
                  <c:v>2.6765224254354332E-3</c:v>
                </c:pt>
                <c:pt idx="5">
                  <c:v>1.4720873339894882E-3</c:v>
                </c:pt>
                <c:pt idx="6">
                  <c:v>2.7434354860713188E-3</c:v>
                </c:pt>
                <c:pt idx="7">
                  <c:v>7.0927844274038974E-3</c:v>
                </c:pt>
                <c:pt idx="8">
                  <c:v>1.9404787584406888E-3</c:v>
                </c:pt>
                <c:pt idx="9">
                  <c:v>4.8846534264196653E-3</c:v>
                </c:pt>
                <c:pt idx="10">
                  <c:v>8.6986978826651565E-4</c:v>
                </c:pt>
                <c:pt idx="11">
                  <c:v>1.4720873339894882E-3</c:v>
                </c:pt>
                <c:pt idx="12">
                  <c:v>3.2118269105225195E-3</c:v>
                </c:pt>
                <c:pt idx="13">
                  <c:v>4.7508273051478939E-3</c:v>
                </c:pt>
                <c:pt idx="14">
                  <c:v>1.6059134552612597E-3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FB-425E-87FF-F52BCC5935B9}"/>
            </c:ext>
          </c:extLst>
        </c:ser>
        <c:ser>
          <c:idx val="4"/>
          <c:order val="4"/>
          <c:tx>
            <c:strRef>
              <c:f>'Sheet1 (Editted) (2)'!$H$5</c:f>
              <c:strCache>
                <c:ptCount val="1"/>
                <c:pt idx="0">
                  <c:v>12/18/2018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(2)'!$H$6:$H$20</c:f>
              <c:numCache>
                <c:formatCode>General</c:formatCode>
                <c:ptCount val="15"/>
                <c:pt idx="1">
                  <c:v>2.6163006708631358E-2</c:v>
                </c:pt>
                <c:pt idx="2">
                  <c:v>9.1001762464804712E-3</c:v>
                </c:pt>
                <c:pt idx="3">
                  <c:v>7.4942627912192123E-3</c:v>
                </c:pt>
                <c:pt idx="4">
                  <c:v>5.6876101540502952E-3</c:v>
                </c:pt>
                <c:pt idx="5">
                  <c:v>9.9031329741111028E-3</c:v>
                </c:pt>
                <c:pt idx="6">
                  <c:v>9.3678284890240156E-3</c:v>
                </c:pt>
                <c:pt idx="7">
                  <c:v>1.552383006752551E-2</c:v>
                </c:pt>
                <c:pt idx="8">
                  <c:v>1.2579655399546535E-2</c:v>
                </c:pt>
                <c:pt idx="9">
                  <c:v>5.2192187295990941E-3</c:v>
                </c:pt>
                <c:pt idx="10">
                  <c:v>5.8883493359579526E-3</c:v>
                </c:pt>
                <c:pt idx="11">
                  <c:v>1.2044350914459448E-3</c:v>
                </c:pt>
                <c:pt idx="12">
                  <c:v>8.6986978826651565E-4</c:v>
                </c:pt>
                <c:pt idx="13">
                  <c:v>3.8809575168813775E-3</c:v>
                </c:pt>
                <c:pt idx="14">
                  <c:v>8.0295672763062986E-4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FB-425E-87FF-F52BCC5935B9}"/>
            </c:ext>
          </c:extLst>
        </c:ser>
        <c:ser>
          <c:idx val="5"/>
          <c:order val="5"/>
          <c:tx>
            <c:strRef>
              <c:f>'Sheet1 (Editted) (2)'!$I$5</c:f>
              <c:strCache>
                <c:ptCount val="1"/>
                <c:pt idx="0">
                  <c:v>1/5/2019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(2)'!$I$6:$I$20</c:f>
              <c:numCache>
                <c:formatCode>General</c:formatCode>
                <c:ptCount val="15"/>
                <c:pt idx="1">
                  <c:v>3.5664661318927142E-2</c:v>
                </c:pt>
                <c:pt idx="2">
                  <c:v>1.4185568854807795E-2</c:v>
                </c:pt>
                <c:pt idx="3">
                  <c:v>1.2111263975095335E-2</c:v>
                </c:pt>
                <c:pt idx="4">
                  <c:v>1.0304611337926418E-2</c:v>
                </c:pt>
                <c:pt idx="5">
                  <c:v>1.4319394976079565E-2</c:v>
                </c:pt>
                <c:pt idx="6">
                  <c:v>1.4185568854807795E-2</c:v>
                </c:pt>
                <c:pt idx="7">
                  <c:v>1.8735656978048031E-2</c:v>
                </c:pt>
                <c:pt idx="8">
                  <c:v>1.2914220702725965E-2</c:v>
                </c:pt>
                <c:pt idx="9">
                  <c:v>4.3493489413325781E-3</c:v>
                </c:pt>
                <c:pt idx="10">
                  <c:v>5.4868709721426377E-3</c:v>
                </c:pt>
                <c:pt idx="11">
                  <c:v>3.0780007892507477E-3</c:v>
                </c:pt>
                <c:pt idx="12">
                  <c:v>4.6839142445120077E-4</c:v>
                </c:pt>
                <c:pt idx="13">
                  <c:v>4.0816966987890354E-3</c:v>
                </c:pt>
                <c:pt idx="14">
                  <c:v>1.3382612127177166E-3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FB-425E-87FF-F52BCC5935B9}"/>
            </c:ext>
          </c:extLst>
        </c:ser>
        <c:ser>
          <c:idx val="6"/>
          <c:order val="6"/>
          <c:tx>
            <c:strRef>
              <c:f>'Sheet1 (Editted) (2)'!$J$5</c:f>
              <c:strCache>
                <c:ptCount val="1"/>
                <c:pt idx="0">
                  <c:v>1/21/2019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(2)'!$J$6:$J$20</c:f>
              <c:numCache>
                <c:formatCode>General</c:formatCode>
                <c:ptCount val="15"/>
                <c:pt idx="1">
                  <c:v>3.0378529528692164E-2</c:v>
                </c:pt>
                <c:pt idx="2">
                  <c:v>9.5016546102957879E-3</c:v>
                </c:pt>
                <c:pt idx="3">
                  <c:v>7.0927844274038974E-3</c:v>
                </c:pt>
                <c:pt idx="4">
                  <c:v>5.0853926083273228E-3</c:v>
                </c:pt>
                <c:pt idx="5">
                  <c:v>9.1670893071163582E-3</c:v>
                </c:pt>
                <c:pt idx="6">
                  <c:v>9.2340023677522434E-3</c:v>
                </c:pt>
                <c:pt idx="7">
                  <c:v>1.3583351309084821E-2</c:v>
                </c:pt>
                <c:pt idx="8">
                  <c:v>7.9626542156704134E-3</c:v>
                </c:pt>
                <c:pt idx="9">
                  <c:v>1.5390003946253738E-3</c:v>
                </c:pt>
                <c:pt idx="10">
                  <c:v>4.0147836381531493E-3</c:v>
                </c:pt>
                <c:pt idx="11">
                  <c:v>1.5390003946253738E-3</c:v>
                </c:pt>
                <c:pt idx="12">
                  <c:v>1.7397395765330313E-3</c:v>
                </c:pt>
                <c:pt idx="13">
                  <c:v>4.7508273051478939E-3</c:v>
                </c:pt>
                <c:pt idx="14">
                  <c:v>1.6059134552612597E-3</c:v>
                </c:pt>
              </c:numCache>
            </c:numRef>
          </c:xVal>
          <c:yVal>
            <c:numRef>
              <c:f>'Sheet1 (Editted) (2)'!$C$6:$C$19</c:f>
              <c:numCache>
                <c:formatCode>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FB-425E-87FF-F52BCC5935B9}"/>
            </c:ext>
          </c:extLst>
        </c:ser>
        <c:ser>
          <c:idx val="7"/>
          <c:order val="7"/>
          <c:tx>
            <c:strRef>
              <c:f>'Sheet1 (Editted) (2)'!$K$5</c:f>
              <c:strCache>
                <c:ptCount val="1"/>
                <c:pt idx="0">
                  <c:v>2/6/2019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(2)'!$K$6:$K$20</c:f>
              <c:numCache>
                <c:formatCode>General</c:formatCode>
                <c:ptCount val="15"/>
                <c:pt idx="1">
                  <c:v>3.9612531896444411E-2</c:v>
                </c:pt>
                <c:pt idx="2">
                  <c:v>1.8936396159955689E-2</c:v>
                </c:pt>
                <c:pt idx="3">
                  <c:v>1.6594439037699683E-2</c:v>
                </c:pt>
                <c:pt idx="4">
                  <c:v>1.411865579417191E-2</c:v>
                </c:pt>
                <c:pt idx="5">
                  <c:v>1.7999613311053288E-2</c:v>
                </c:pt>
                <c:pt idx="6">
                  <c:v>1.7263569644058542E-2</c:v>
                </c:pt>
                <c:pt idx="7">
                  <c:v>2.1144527160939921E-2</c:v>
                </c:pt>
                <c:pt idx="8">
                  <c:v>1.4386308036715451E-2</c:v>
                </c:pt>
                <c:pt idx="9">
                  <c:v>5.2192187295990941E-3</c:v>
                </c:pt>
                <c:pt idx="10">
                  <c:v>7.0927844274038974E-3</c:v>
                </c:pt>
                <c:pt idx="11">
                  <c:v>4.6839142445120078E-3</c:v>
                </c:pt>
                <c:pt idx="12">
                  <c:v>1.1375220308100589E-3</c:v>
                </c:pt>
                <c:pt idx="13">
                  <c:v>2.4088701828918896E-3</c:v>
                </c:pt>
                <c:pt idx="14">
                  <c:v>2.6765224254354331E-4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FB-425E-87FF-F52BCC5935B9}"/>
            </c:ext>
          </c:extLst>
        </c:ser>
        <c:ser>
          <c:idx val="8"/>
          <c:order val="8"/>
          <c:tx>
            <c:strRef>
              <c:f>'Sheet1 (Editted) (2)'!$L$5</c:f>
              <c:strCache>
                <c:ptCount val="1"/>
                <c:pt idx="0">
                  <c:v>2/25/2019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(2)'!$L$6:$L$20</c:f>
              <c:numCache>
                <c:formatCode>General</c:formatCode>
                <c:ptCount val="15"/>
                <c:pt idx="1">
                  <c:v>4.2958184928238698E-2</c:v>
                </c:pt>
                <c:pt idx="2">
                  <c:v>1.9806265948222206E-2</c:v>
                </c:pt>
                <c:pt idx="3">
                  <c:v>1.5791482310069053E-2</c:v>
                </c:pt>
                <c:pt idx="4">
                  <c:v>1.2312003157002991E-2</c:v>
                </c:pt>
                <c:pt idx="5">
                  <c:v>1.6126047613248484E-2</c:v>
                </c:pt>
                <c:pt idx="6">
                  <c:v>1.5791482310069053E-2</c:v>
                </c:pt>
                <c:pt idx="7">
                  <c:v>1.9003309220591576E-2</c:v>
                </c:pt>
                <c:pt idx="8">
                  <c:v>1.1308307247464703E-2</c:v>
                </c:pt>
                <c:pt idx="9">
                  <c:v>2.5426963041636614E-3</c:v>
                </c:pt>
                <c:pt idx="10">
                  <c:v>5.0853926083273228E-3</c:v>
                </c:pt>
                <c:pt idx="11">
                  <c:v>4.4831750626043504E-3</c:v>
                </c:pt>
                <c:pt idx="12">
                  <c:v>7.3604366699474408E-4</c:v>
                </c:pt>
                <c:pt idx="13">
                  <c:v>3.1449138498866338E-3</c:v>
                </c:pt>
                <c:pt idx="14">
                  <c:v>8.6986978826651565E-4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FB-425E-87FF-F52BCC5935B9}"/>
            </c:ext>
          </c:extLst>
        </c:ser>
        <c:ser>
          <c:idx val="9"/>
          <c:order val="9"/>
          <c:tx>
            <c:strRef>
              <c:f>'Sheet1 (Editted) (2)'!$M$5</c:f>
              <c:strCache>
                <c:ptCount val="1"/>
                <c:pt idx="0">
                  <c:v>3/13/2019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(2)'!$M$6:$M$20</c:f>
              <c:numCache>
                <c:formatCode>General</c:formatCode>
                <c:ptCount val="15"/>
                <c:pt idx="1">
                  <c:v>4.8712708142924881E-2</c:v>
                </c:pt>
                <c:pt idx="2">
                  <c:v>2.3285745101288266E-2</c:v>
                </c:pt>
                <c:pt idx="3">
                  <c:v>1.7263569644058542E-2</c:v>
                </c:pt>
                <c:pt idx="4">
                  <c:v>1.2847307642090078E-2</c:v>
                </c:pt>
                <c:pt idx="5">
                  <c:v>1.6594439037699683E-2</c:v>
                </c:pt>
                <c:pt idx="6">
                  <c:v>1.6527525977063799E-2</c:v>
                </c:pt>
                <c:pt idx="7">
                  <c:v>2.0876874918396376E-2</c:v>
                </c:pt>
                <c:pt idx="8">
                  <c:v>1.4386308036715451E-2</c:v>
                </c:pt>
                <c:pt idx="9">
                  <c:v>6.022175457229724E-3</c:v>
                </c:pt>
                <c:pt idx="10">
                  <c:v>7.8957411550345264E-3</c:v>
                </c:pt>
                <c:pt idx="11">
                  <c:v>6.4236538210450389E-3</c:v>
                </c:pt>
                <c:pt idx="12">
                  <c:v>2.3419571222560039E-3</c:v>
                </c:pt>
                <c:pt idx="13">
                  <c:v>1.7397395765330313E-3</c:v>
                </c:pt>
                <c:pt idx="14">
                  <c:v>1.3382612127177165E-4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FB-425E-87FF-F52BCC5935B9}"/>
            </c:ext>
          </c:extLst>
        </c:ser>
        <c:ser>
          <c:idx val="10"/>
          <c:order val="10"/>
          <c:tx>
            <c:strRef>
              <c:f>'Sheet1 (Editted) (2)'!$N$5</c:f>
              <c:strCache>
                <c:ptCount val="1"/>
                <c:pt idx="0">
                  <c:v>4/1/2019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(2)'!$N$6:$N$20</c:f>
              <c:numCache>
                <c:formatCode>General</c:formatCode>
                <c:ptCount val="15"/>
                <c:pt idx="1">
                  <c:v>4.0616227805982695E-2</c:v>
                </c:pt>
                <c:pt idx="2">
                  <c:v>2.0475396554581062E-2</c:v>
                </c:pt>
                <c:pt idx="3">
                  <c:v>1.4319394976079565E-2</c:v>
                </c:pt>
                <c:pt idx="4">
                  <c:v>9.1001762464804712E-3</c:v>
                </c:pt>
                <c:pt idx="5">
                  <c:v>1.2914220702725965E-2</c:v>
                </c:pt>
                <c:pt idx="6">
                  <c:v>1.331569906654128E-2</c:v>
                </c:pt>
                <c:pt idx="7">
                  <c:v>1.8802570038683915E-2</c:v>
                </c:pt>
                <c:pt idx="8">
                  <c:v>1.2914220702725965E-2</c:v>
                </c:pt>
                <c:pt idx="9">
                  <c:v>3.5463922137019487E-3</c:v>
                </c:pt>
                <c:pt idx="10">
                  <c:v>5.9552623965938379E-3</c:v>
                </c:pt>
                <c:pt idx="11">
                  <c:v>4.3493489413325781E-3</c:v>
                </c:pt>
                <c:pt idx="12">
                  <c:v>1.0706089701741732E-3</c:v>
                </c:pt>
                <c:pt idx="13">
                  <c:v>2.8103485467072045E-3</c:v>
                </c:pt>
                <c:pt idx="14">
                  <c:v>3.3456530317942915E-4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FB-425E-87FF-F52BCC5935B9}"/>
            </c:ext>
          </c:extLst>
        </c:ser>
        <c:ser>
          <c:idx val="11"/>
          <c:order val="11"/>
          <c:tx>
            <c:strRef>
              <c:f>'Sheet1 (Editted) (2)'!$O$5</c:f>
              <c:strCache>
                <c:ptCount val="1"/>
                <c:pt idx="0">
                  <c:v>4/10/2019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(2)'!$O$6:$O$20</c:f>
              <c:numCache>
                <c:formatCode>General</c:formatCode>
                <c:ptCount val="15"/>
                <c:pt idx="1">
                  <c:v>4.8980360385468422E-2</c:v>
                </c:pt>
                <c:pt idx="2">
                  <c:v>2.7635094042620847E-2</c:v>
                </c:pt>
                <c:pt idx="3">
                  <c:v>2.0609222675852835E-2</c:v>
                </c:pt>
                <c:pt idx="4">
                  <c:v>1.4453221097351339E-2</c:v>
                </c:pt>
                <c:pt idx="5">
                  <c:v>1.7665048007873857E-2</c:v>
                </c:pt>
                <c:pt idx="6">
                  <c:v>1.8468004735504487E-2</c:v>
                </c:pt>
                <c:pt idx="7">
                  <c:v>2.3687223465103581E-2</c:v>
                </c:pt>
                <c:pt idx="8">
                  <c:v>1.8133439432325059E-2</c:v>
                </c:pt>
                <c:pt idx="9">
                  <c:v>8.4979587007574988E-3</c:v>
                </c:pt>
                <c:pt idx="10">
                  <c:v>1.0170785216654646E-2</c:v>
                </c:pt>
                <c:pt idx="11">
                  <c:v>8.0295672763062986E-3</c:v>
                </c:pt>
                <c:pt idx="12">
                  <c:v>3.2787399711584051E-3</c:v>
                </c:pt>
                <c:pt idx="13">
                  <c:v>1.3382612127177166E-3</c:v>
                </c:pt>
                <c:pt idx="14">
                  <c:v>6.6913060635885826E-5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5FB-425E-87FF-F52BCC5935B9}"/>
            </c:ext>
          </c:extLst>
        </c:ser>
        <c:ser>
          <c:idx val="12"/>
          <c:order val="12"/>
          <c:tx>
            <c:strRef>
              <c:f>'Sheet1 (Editted) (2)'!$P$5</c:f>
              <c:strCache>
                <c:ptCount val="1"/>
                <c:pt idx="0">
                  <c:v>4/24/2019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(2)'!$P$6:$P$20</c:f>
              <c:numCache>
                <c:formatCode>General</c:formatCode>
                <c:ptCount val="15"/>
                <c:pt idx="1">
                  <c:v>4.8980360385468422E-2</c:v>
                </c:pt>
                <c:pt idx="2">
                  <c:v>2.6497572011810789E-2</c:v>
                </c:pt>
                <c:pt idx="3">
                  <c:v>1.9270961463135117E-2</c:v>
                </c:pt>
                <c:pt idx="4">
                  <c:v>1.2847307642090078E-2</c:v>
                </c:pt>
                <c:pt idx="5">
                  <c:v>1.5791482310069053E-2</c:v>
                </c:pt>
                <c:pt idx="6">
                  <c:v>1.6192960673884368E-2</c:v>
                </c:pt>
                <c:pt idx="7">
                  <c:v>2.1412179403483465E-2</c:v>
                </c:pt>
                <c:pt idx="8">
                  <c:v>1.552383006752551E-2</c:v>
                </c:pt>
                <c:pt idx="9">
                  <c:v>6.2898276997732675E-3</c:v>
                </c:pt>
                <c:pt idx="10">
                  <c:v>8.0964803369421839E-3</c:v>
                </c:pt>
                <c:pt idx="11">
                  <c:v>6.1560015785014953E-3</c:v>
                </c:pt>
                <c:pt idx="12">
                  <c:v>1.8735656978048031E-3</c:v>
                </c:pt>
                <c:pt idx="13">
                  <c:v>2.2750440616201178E-3</c:v>
                </c:pt>
                <c:pt idx="14">
                  <c:v>1.3382612127177165E-4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5FB-425E-87FF-F52BCC5935B9}"/>
            </c:ext>
          </c:extLst>
        </c:ser>
        <c:ser>
          <c:idx val="13"/>
          <c:order val="13"/>
          <c:tx>
            <c:strRef>
              <c:f>'Sheet1 (Editted) (2)'!$Q$5</c:f>
              <c:strCache>
                <c:ptCount val="1"/>
                <c:pt idx="0">
                  <c:v>5/15/2019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(2)'!$Q$6:$Q$20</c:f>
              <c:numCache>
                <c:formatCode>General</c:formatCode>
                <c:ptCount val="15"/>
                <c:pt idx="1">
                  <c:v>5.8348188874492439E-2</c:v>
                </c:pt>
                <c:pt idx="2">
                  <c:v>3.2653573590312283E-2</c:v>
                </c:pt>
                <c:pt idx="3">
                  <c:v>2.4557093253370101E-2</c:v>
                </c:pt>
                <c:pt idx="4">
                  <c:v>1.7263569644058542E-2</c:v>
                </c:pt>
                <c:pt idx="5">
                  <c:v>2.000700513012986E-2</c:v>
                </c:pt>
                <c:pt idx="6">
                  <c:v>1.9270961463135117E-2</c:v>
                </c:pt>
                <c:pt idx="7">
                  <c:v>2.4490180192734211E-2</c:v>
                </c:pt>
                <c:pt idx="8">
                  <c:v>1.7665048007873857E-2</c:v>
                </c:pt>
                <c:pt idx="9">
                  <c:v>8.8325240039369285E-3</c:v>
                </c:pt>
                <c:pt idx="10">
                  <c:v>1.0304611337926418E-2</c:v>
                </c:pt>
                <c:pt idx="11">
                  <c:v>7.6950019731268698E-3</c:v>
                </c:pt>
                <c:pt idx="12">
                  <c:v>3.2118269105225195E-3</c:v>
                </c:pt>
                <c:pt idx="13">
                  <c:v>1.1375220308100589E-3</c:v>
                </c:pt>
                <c:pt idx="14">
                  <c:v>2.6765224254354331E-4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5FB-425E-87FF-F52BCC5935B9}"/>
            </c:ext>
          </c:extLst>
        </c:ser>
        <c:ser>
          <c:idx val="14"/>
          <c:order val="14"/>
          <c:tx>
            <c:strRef>
              <c:f>'Sheet1 (Editted) (2)'!$R$5</c:f>
              <c:strCache>
                <c:ptCount val="1"/>
                <c:pt idx="0">
                  <c:v>5/29/2019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(2)'!$R$6:$R$20</c:f>
              <c:numCache>
                <c:formatCode>General</c:formatCode>
                <c:ptCount val="15"/>
                <c:pt idx="1">
                  <c:v>5.9017319480851295E-2</c:v>
                </c:pt>
                <c:pt idx="2">
                  <c:v>3.4660965409388858E-2</c:v>
                </c:pt>
                <c:pt idx="3">
                  <c:v>2.6229919769267241E-2</c:v>
                </c:pt>
                <c:pt idx="4">
                  <c:v>1.8802570038683915E-2</c:v>
                </c:pt>
                <c:pt idx="5">
                  <c:v>2.1612918585391123E-2</c:v>
                </c:pt>
                <c:pt idx="6">
                  <c:v>2.1412179403483465E-2</c:v>
                </c:pt>
                <c:pt idx="7">
                  <c:v>2.6363745890539012E-2</c:v>
                </c:pt>
                <c:pt idx="8">
                  <c:v>2.014083125140163E-2</c:v>
                </c:pt>
                <c:pt idx="9">
                  <c:v>1.0839915823013503E-2</c:v>
                </c:pt>
                <c:pt idx="10">
                  <c:v>1.251274233891065E-2</c:v>
                </c:pt>
                <c:pt idx="11">
                  <c:v>9.7023937922034453E-3</c:v>
                </c:pt>
                <c:pt idx="12">
                  <c:v>5.1523056689632089E-3</c:v>
                </c:pt>
                <c:pt idx="13">
                  <c:v>3.3456530317942915E-4</c:v>
                </c:pt>
                <c:pt idx="14">
                  <c:v>4.6839142445120077E-4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5FB-425E-87FF-F52BCC5935B9}"/>
            </c:ext>
          </c:extLst>
        </c:ser>
        <c:ser>
          <c:idx val="15"/>
          <c:order val="15"/>
          <c:tx>
            <c:strRef>
              <c:f>'Sheet1 (Editted) (2)'!$S$5</c:f>
              <c:strCache>
                <c:ptCount val="1"/>
                <c:pt idx="0">
                  <c:v>6/12/2019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(2)'!$S$6:$S$20</c:f>
              <c:numCache>
                <c:formatCode>General</c:formatCode>
                <c:ptCount val="15"/>
                <c:pt idx="1">
                  <c:v>5.7946710510677124E-2</c:v>
                </c:pt>
                <c:pt idx="2">
                  <c:v>3.4660965409388858E-2</c:v>
                </c:pt>
                <c:pt idx="3">
                  <c:v>2.6096093647995471E-2</c:v>
                </c:pt>
                <c:pt idx="4">
                  <c:v>1.8601830856776257E-2</c:v>
                </c:pt>
                <c:pt idx="5">
                  <c:v>2.1211440221575804E-2</c:v>
                </c:pt>
                <c:pt idx="6">
                  <c:v>2.0609222675852835E-2</c:v>
                </c:pt>
                <c:pt idx="7">
                  <c:v>2.6096093647995471E-2</c:v>
                </c:pt>
                <c:pt idx="8">
                  <c:v>1.9538613705678661E-2</c:v>
                </c:pt>
                <c:pt idx="9">
                  <c:v>1.0773002762377618E-2</c:v>
                </c:pt>
                <c:pt idx="10">
                  <c:v>1.1642872550644133E-2</c:v>
                </c:pt>
                <c:pt idx="11">
                  <c:v>8.4310456401216136E-3</c:v>
                </c:pt>
                <c:pt idx="12">
                  <c:v>3.7471313956096062E-3</c:v>
                </c:pt>
                <c:pt idx="13">
                  <c:v>1.5390003946253738E-3</c:v>
                </c:pt>
                <c:pt idx="14">
                  <c:v>1.5390003946253738E-3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5FB-425E-87FF-F52BCC5935B9}"/>
            </c:ext>
          </c:extLst>
        </c:ser>
        <c:ser>
          <c:idx val="16"/>
          <c:order val="16"/>
          <c:tx>
            <c:strRef>
              <c:f>'Sheet1 (Editted) (2)'!$T$5</c:f>
              <c:strCache>
                <c:ptCount val="1"/>
                <c:pt idx="0">
                  <c:v>7/8/2019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(2)'!$T$6:$T$20</c:f>
              <c:numCache>
                <c:formatCode>General</c:formatCode>
                <c:ptCount val="15"/>
                <c:pt idx="1">
                  <c:v>6.1493102724379071E-2</c:v>
                </c:pt>
                <c:pt idx="2">
                  <c:v>3.860883598690612E-2</c:v>
                </c:pt>
                <c:pt idx="3">
                  <c:v>2.9374833619153877E-2</c:v>
                </c:pt>
                <c:pt idx="4">
                  <c:v>2.1813657767298777E-2</c:v>
                </c:pt>
                <c:pt idx="5">
                  <c:v>2.4423267132098324E-2</c:v>
                </c:pt>
                <c:pt idx="6">
                  <c:v>2.3954875707647125E-2</c:v>
                </c:pt>
                <c:pt idx="7">
                  <c:v>2.944174667978976E-2</c:v>
                </c:pt>
                <c:pt idx="8">
                  <c:v>2.355339734383181E-2</c:v>
                </c:pt>
                <c:pt idx="9">
                  <c:v>1.3516438248448935E-2</c:v>
                </c:pt>
                <c:pt idx="10">
                  <c:v>1.411865579417191E-2</c:v>
                </c:pt>
                <c:pt idx="11">
                  <c:v>9.7023937922034453E-3</c:v>
                </c:pt>
                <c:pt idx="12">
                  <c:v>4.4831750626043504E-3</c:v>
                </c:pt>
                <c:pt idx="13">
                  <c:v>8.0295672763062986E-4</c:v>
                </c:pt>
                <c:pt idx="14">
                  <c:v>2.6765224254354331E-4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5FB-425E-87FF-F52BCC5935B9}"/>
            </c:ext>
          </c:extLst>
        </c:ser>
        <c:ser>
          <c:idx val="17"/>
          <c:order val="17"/>
          <c:tx>
            <c:strRef>
              <c:f>'Sheet1 (Editted) (2)'!$U$5</c:f>
              <c:strCache>
                <c:ptCount val="1"/>
                <c:pt idx="0">
                  <c:v>7/24/2019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(2)'!$U$6:$U$20</c:f>
              <c:numCache>
                <c:formatCode>General</c:formatCode>
                <c:ptCount val="15"/>
                <c:pt idx="1">
                  <c:v>7.460806260901269E-2</c:v>
                </c:pt>
                <c:pt idx="2">
                  <c:v>4.0014010260259719E-2</c:v>
                </c:pt>
                <c:pt idx="3">
                  <c:v>3.0846920953143366E-2</c:v>
                </c:pt>
                <c:pt idx="4">
                  <c:v>2.3754136525739464E-2</c:v>
                </c:pt>
                <c:pt idx="5">
                  <c:v>2.6430658951174902E-2</c:v>
                </c:pt>
                <c:pt idx="6">
                  <c:v>2.515931079909307E-2</c:v>
                </c:pt>
                <c:pt idx="7">
                  <c:v>2.9241007497882106E-2</c:v>
                </c:pt>
                <c:pt idx="8">
                  <c:v>2.2081310009842321E-2</c:v>
                </c:pt>
                <c:pt idx="9">
                  <c:v>1.2044350914459448E-2</c:v>
                </c:pt>
                <c:pt idx="10">
                  <c:v>1.3382612127177165E-2</c:v>
                </c:pt>
                <c:pt idx="11">
                  <c:v>9.970046034746988E-3</c:v>
                </c:pt>
                <c:pt idx="12">
                  <c:v>4.5500881232402356E-3</c:v>
                </c:pt>
                <c:pt idx="13">
                  <c:v>9.3678284890240154E-4</c:v>
                </c:pt>
                <c:pt idx="14">
                  <c:v>6.6913060635885826E-5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5FB-425E-87FF-F52BCC5935B9}"/>
            </c:ext>
          </c:extLst>
        </c:ser>
        <c:ser>
          <c:idx val="18"/>
          <c:order val="18"/>
          <c:tx>
            <c:strRef>
              <c:f>'Sheet1 (Editted) (2)'!$V$5</c:f>
              <c:strCache>
                <c:ptCount val="1"/>
                <c:pt idx="0">
                  <c:v>8/16/2019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(2)'!$V$6:$V$20</c:f>
              <c:numCache>
                <c:formatCode>General</c:formatCode>
                <c:ptCount val="15"/>
                <c:pt idx="1">
                  <c:v>7.5812497700458642E-2</c:v>
                </c:pt>
                <c:pt idx="2">
                  <c:v>4.3894967777141101E-2</c:v>
                </c:pt>
                <c:pt idx="3">
                  <c:v>3.4460226227481197E-2</c:v>
                </c:pt>
                <c:pt idx="4">
                  <c:v>2.7032876496897871E-2</c:v>
                </c:pt>
                <c:pt idx="5">
                  <c:v>2.944174667978976E-2</c:v>
                </c:pt>
                <c:pt idx="6">
                  <c:v>2.9241007497882106E-2</c:v>
                </c:pt>
                <c:pt idx="7">
                  <c:v>3.3724182560486454E-2</c:v>
                </c:pt>
                <c:pt idx="8">
                  <c:v>2.6564485072446672E-2</c:v>
                </c:pt>
                <c:pt idx="9">
                  <c:v>1.5657656188797282E-2</c:v>
                </c:pt>
                <c:pt idx="10">
                  <c:v>1.5925308431340827E-2</c:v>
                </c:pt>
                <c:pt idx="11">
                  <c:v>1.2378916217638878E-2</c:v>
                </c:pt>
                <c:pt idx="12">
                  <c:v>6.8251321848603547E-3</c:v>
                </c:pt>
                <c:pt idx="13">
                  <c:v>1.0706089701741732E-3</c:v>
                </c:pt>
                <c:pt idx="14">
                  <c:v>1.2044350914459448E-3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5FB-425E-87FF-F52BCC5935B9}"/>
            </c:ext>
          </c:extLst>
        </c:ser>
        <c:ser>
          <c:idx val="19"/>
          <c:order val="19"/>
          <c:tx>
            <c:strRef>
              <c:f>'Sheet1 (Editted) (2)'!$W$5</c:f>
              <c:strCache>
                <c:ptCount val="1"/>
                <c:pt idx="0">
                  <c:v>8/30/2019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(2)'!$W$6:$W$20</c:f>
              <c:numCache>
                <c:formatCode>General</c:formatCode>
                <c:ptCount val="15"/>
                <c:pt idx="1">
                  <c:v>7.7485324216355789E-2</c:v>
                </c:pt>
                <c:pt idx="2">
                  <c:v>4.4898663686679392E-2</c:v>
                </c:pt>
                <c:pt idx="3">
                  <c:v>3.5463922137019488E-2</c:v>
                </c:pt>
                <c:pt idx="4">
                  <c:v>2.7969659345800271E-2</c:v>
                </c:pt>
                <c:pt idx="5">
                  <c:v>2.9776311982969188E-2</c:v>
                </c:pt>
                <c:pt idx="6">
                  <c:v>2.8839529134066788E-2</c:v>
                </c:pt>
                <c:pt idx="7">
                  <c:v>3.2921225832855824E-2</c:v>
                </c:pt>
                <c:pt idx="8">
                  <c:v>2.5694615284180156E-2</c:v>
                </c:pt>
                <c:pt idx="9">
                  <c:v>1.4988525582438425E-2</c:v>
                </c:pt>
                <c:pt idx="10">
                  <c:v>1.4921612521802539E-2</c:v>
                </c:pt>
                <c:pt idx="11">
                  <c:v>1.0839915823013503E-2</c:v>
                </c:pt>
                <c:pt idx="12">
                  <c:v>5.4868709721426377E-3</c:v>
                </c:pt>
                <c:pt idx="13">
                  <c:v>5.4869999999999997E-3</c:v>
                </c:pt>
                <c:pt idx="14">
                  <c:v>8.0295672763062986E-4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5FB-425E-87FF-F52BCC5935B9}"/>
            </c:ext>
          </c:extLst>
        </c:ser>
        <c:ser>
          <c:idx val="20"/>
          <c:order val="20"/>
          <c:tx>
            <c:strRef>
              <c:f>'Sheet1 (Editted) (2)'!$X$5</c:f>
              <c:strCache>
                <c:ptCount val="1"/>
                <c:pt idx="0">
                  <c:v>9/25/2019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(2)'!$X$7:$X$20</c:f>
              <c:numCache>
                <c:formatCode>General</c:formatCode>
                <c:ptCount val="14"/>
                <c:pt idx="0">
                  <c:v>6.5173321059352793E-2</c:v>
                </c:pt>
                <c:pt idx="1">
                  <c:v>4.0080923320895613E-2</c:v>
                </c:pt>
                <c:pt idx="2">
                  <c:v>3.2653573590312283E-2</c:v>
                </c:pt>
                <c:pt idx="3">
                  <c:v>2.50254846778213E-2</c:v>
                </c:pt>
                <c:pt idx="4">
                  <c:v>2.8036572406436162E-2</c:v>
                </c:pt>
                <c:pt idx="5">
                  <c:v>2.7300528739441419E-2</c:v>
                </c:pt>
                <c:pt idx="6">
                  <c:v>3.2385921347768735E-2</c:v>
                </c:pt>
                <c:pt idx="7">
                  <c:v>2.6163006708631358E-2</c:v>
                </c:pt>
                <c:pt idx="8">
                  <c:v>1.5925308431340827E-2</c:v>
                </c:pt>
                <c:pt idx="9">
                  <c:v>1.6059134552612597E-2</c:v>
                </c:pt>
                <c:pt idx="10">
                  <c:v>1.1107568065557048E-2</c:v>
                </c:pt>
                <c:pt idx="11">
                  <c:v>5.5537840327785238E-3</c:v>
                </c:pt>
                <c:pt idx="12">
                  <c:v>6.6913060635885826E-5</c:v>
                </c:pt>
                <c:pt idx="13">
                  <c:v>4.6839142445120077E-4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BF-4AF1-B556-E280E48581B2}"/>
            </c:ext>
          </c:extLst>
        </c:ser>
        <c:ser>
          <c:idx val="21"/>
          <c:order val="21"/>
          <c:tx>
            <c:strRef>
              <c:f>'Sheet1 (Editted) (2)'!$Y$5</c:f>
              <c:strCache>
                <c:ptCount val="1"/>
                <c:pt idx="0">
                  <c:v>10/10/2019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(2)'!$Y$7:$Y$20</c:f>
              <c:numCache>
                <c:formatCode>General</c:formatCode>
                <c:ptCount val="14"/>
                <c:pt idx="0">
                  <c:v>5.5337101145877574E-2</c:v>
                </c:pt>
                <c:pt idx="1">
                  <c:v>3.860883598690612E-2</c:v>
                </c:pt>
                <c:pt idx="2">
                  <c:v>3.2385921347768735E-2</c:v>
                </c:pt>
                <c:pt idx="3">
                  <c:v>2.5293136920364841E-2</c:v>
                </c:pt>
                <c:pt idx="4">
                  <c:v>2.7835833224528501E-2</c:v>
                </c:pt>
                <c:pt idx="5">
                  <c:v>2.7233615678805532E-2</c:v>
                </c:pt>
                <c:pt idx="6">
                  <c:v>3.104766013505102E-2</c:v>
                </c:pt>
                <c:pt idx="7">
                  <c:v>2.4088701828918896E-2</c:v>
                </c:pt>
                <c:pt idx="8">
                  <c:v>1.4051742733536024E-2</c:v>
                </c:pt>
                <c:pt idx="9">
                  <c:v>1.539000394625374E-2</c:v>
                </c:pt>
                <c:pt idx="10">
                  <c:v>1.2044350914459448E-2</c:v>
                </c:pt>
                <c:pt idx="11">
                  <c:v>6.2898276997732675E-3</c:v>
                </c:pt>
                <c:pt idx="12">
                  <c:v>6.6913060635885826E-5</c:v>
                </c:pt>
                <c:pt idx="13">
                  <c:v>7.3604366699474408E-4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BF-4AF1-B556-E280E48581B2}"/>
            </c:ext>
          </c:extLst>
        </c:ser>
        <c:ser>
          <c:idx val="22"/>
          <c:order val="22"/>
          <c:tx>
            <c:strRef>
              <c:f>'Sheet1 (Editted) (2)'!$Z$5</c:f>
              <c:strCache>
                <c:ptCount val="1"/>
                <c:pt idx="0">
                  <c:v>11/1/2019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(2)'!$Z$7:$Z$20</c:f>
              <c:numCache>
                <c:formatCode>General</c:formatCode>
                <c:ptCount val="14"/>
                <c:pt idx="0">
                  <c:v>8.1968499278960133E-2</c:v>
                </c:pt>
                <c:pt idx="1">
                  <c:v>4.2088315139972181E-2</c:v>
                </c:pt>
                <c:pt idx="2">
                  <c:v>3.3657269499850567E-2</c:v>
                </c:pt>
                <c:pt idx="3">
                  <c:v>2.5694615284180156E-2</c:v>
                </c:pt>
                <c:pt idx="4">
                  <c:v>2.7367441800077302E-2</c:v>
                </c:pt>
                <c:pt idx="5">
                  <c:v>2.59622675267237E-2</c:v>
                </c:pt>
                <c:pt idx="6">
                  <c:v>2.8638789952159131E-2</c:v>
                </c:pt>
                <c:pt idx="7">
                  <c:v>2.1612918585391123E-2</c:v>
                </c:pt>
                <c:pt idx="8">
                  <c:v>1.1174481126192933E-2</c:v>
                </c:pt>
                <c:pt idx="9">
                  <c:v>1.2780394581454191E-2</c:v>
                </c:pt>
                <c:pt idx="10">
                  <c:v>9.1670893071163582E-3</c:v>
                </c:pt>
                <c:pt idx="11">
                  <c:v>3.8809575168813775E-3</c:v>
                </c:pt>
                <c:pt idx="12">
                  <c:v>1.6059134552612597E-3</c:v>
                </c:pt>
                <c:pt idx="13">
                  <c:v>1.3382612127177165E-4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BF-4AF1-B556-E280E48581B2}"/>
            </c:ext>
          </c:extLst>
        </c:ser>
        <c:ser>
          <c:idx val="23"/>
          <c:order val="23"/>
          <c:tx>
            <c:strRef>
              <c:f>'Sheet1 (Editted) (2)'!$AA$5</c:f>
              <c:strCache>
                <c:ptCount val="1"/>
                <c:pt idx="0">
                  <c:v>11/21/2019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(2)'!$AA$7:$AA$20</c:f>
              <c:numCache>
                <c:formatCode>General</c:formatCode>
                <c:ptCount val="14"/>
                <c:pt idx="0">
                  <c:v>9.7492329346485648E-2</c:v>
                </c:pt>
                <c:pt idx="1">
                  <c:v>5.031862159818614E-2</c:v>
                </c:pt>
                <c:pt idx="2">
                  <c:v>4.2489793503787496E-2</c:v>
                </c:pt>
                <c:pt idx="3">
                  <c:v>3.3858008681758228E-2</c:v>
                </c:pt>
                <c:pt idx="4">
                  <c:v>3.4259487045573543E-2</c:v>
                </c:pt>
                <c:pt idx="5">
                  <c:v>3.1315312377594565E-2</c:v>
                </c:pt>
                <c:pt idx="6">
                  <c:v>3.2653573590312283E-2</c:v>
                </c:pt>
                <c:pt idx="7">
                  <c:v>2.435635407146244E-2</c:v>
                </c:pt>
                <c:pt idx="8">
                  <c:v>1.391791661226425E-2</c:v>
                </c:pt>
                <c:pt idx="9">
                  <c:v>1.458704721862311E-2</c:v>
                </c:pt>
                <c:pt idx="10">
                  <c:v>1.1308307247464703E-2</c:v>
                </c:pt>
                <c:pt idx="11">
                  <c:v>4.8846534264196653E-3</c:v>
                </c:pt>
                <c:pt idx="12">
                  <c:v>1.2044350914459448E-3</c:v>
                </c:pt>
                <c:pt idx="13">
                  <c:v>5.3530448508708661E-4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05-4B18-97F9-940109DA8442}"/>
            </c:ext>
          </c:extLst>
        </c:ser>
        <c:ser>
          <c:idx val="24"/>
          <c:order val="24"/>
          <c:tx>
            <c:strRef>
              <c:f>'Sheet1 (Editted) (2)'!$AB$5</c:f>
              <c:strCache>
                <c:ptCount val="1"/>
                <c:pt idx="0">
                  <c:v>12/7/2019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(2)'!$AB$7:$AB$20</c:f>
              <c:numCache>
                <c:formatCode>General</c:formatCode>
                <c:ptCount val="14"/>
                <c:pt idx="0">
                  <c:v>0.10130637380273114</c:v>
                </c:pt>
                <c:pt idx="1">
                  <c:v>4.851196896101722E-2</c:v>
                </c:pt>
                <c:pt idx="2">
                  <c:v>4.0415488624075041E-2</c:v>
                </c:pt>
                <c:pt idx="3">
                  <c:v>3.1649877680773993E-2</c:v>
                </c:pt>
                <c:pt idx="4">
                  <c:v>3.2118269105225195E-2</c:v>
                </c:pt>
                <c:pt idx="5">
                  <c:v>2.9575572801061538E-2</c:v>
                </c:pt>
                <c:pt idx="6">
                  <c:v>3.2519747469040509E-2</c:v>
                </c:pt>
                <c:pt idx="7">
                  <c:v>2.6631398133082559E-2</c:v>
                </c:pt>
                <c:pt idx="8">
                  <c:v>1.5791482310069053E-2</c:v>
                </c:pt>
                <c:pt idx="9">
                  <c:v>1.6326786795156142E-2</c:v>
                </c:pt>
                <c:pt idx="10">
                  <c:v>1.137522030810059E-2</c:v>
                </c:pt>
                <c:pt idx="11">
                  <c:v>4.4831750626043504E-3</c:v>
                </c:pt>
                <c:pt idx="12">
                  <c:v>1.8735656978048031E-3</c:v>
                </c:pt>
                <c:pt idx="13">
                  <c:v>1.3382612127177165E-4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05-4B18-97F9-940109DA8442}"/>
            </c:ext>
          </c:extLst>
        </c:ser>
        <c:ser>
          <c:idx val="25"/>
          <c:order val="25"/>
          <c:tx>
            <c:strRef>
              <c:f>'Sheet1 (Editted) (2)'!$AC$5</c:f>
              <c:strCache>
                <c:ptCount val="1"/>
                <c:pt idx="0">
                  <c:v>12/18/2019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(2)'!$AC$7:$AC$20</c:f>
              <c:numCache>
                <c:formatCode>General</c:formatCode>
                <c:ptCount val="14"/>
                <c:pt idx="0">
                  <c:v>0.10806459292695561</c:v>
                </c:pt>
                <c:pt idx="1">
                  <c:v>5.1857621992811513E-2</c:v>
                </c:pt>
                <c:pt idx="2">
                  <c:v>4.3894967777141101E-2</c:v>
                </c:pt>
                <c:pt idx="3">
                  <c:v>3.5664661318927142E-2</c:v>
                </c:pt>
                <c:pt idx="4">
                  <c:v>3.5798487440198916E-2</c:v>
                </c:pt>
                <c:pt idx="5">
                  <c:v>3.2921225832855824E-2</c:v>
                </c:pt>
                <c:pt idx="6">
                  <c:v>3.5196269894475947E-2</c:v>
                </c:pt>
                <c:pt idx="7">
                  <c:v>2.8237311588343819E-2</c:v>
                </c:pt>
                <c:pt idx="8">
                  <c:v>1.7263569644058542E-2</c:v>
                </c:pt>
                <c:pt idx="9">
                  <c:v>1.7196656583422659E-2</c:v>
                </c:pt>
                <c:pt idx="10">
                  <c:v>1.1910524793187676E-2</c:v>
                </c:pt>
                <c:pt idx="11">
                  <c:v>5.2192187295990941E-3</c:v>
                </c:pt>
                <c:pt idx="12">
                  <c:v>1.2713481520818307E-3</c:v>
                </c:pt>
                <c:pt idx="13">
                  <c:v>3.3456530317942915E-4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61-4B8F-A90B-D22653995403}"/>
            </c:ext>
          </c:extLst>
        </c:ser>
        <c:ser>
          <c:idx val="26"/>
          <c:order val="26"/>
          <c:tx>
            <c:strRef>
              <c:f>'Sheet1 (Editted) (2)'!$AD$5</c:f>
              <c:strCache>
                <c:ptCount val="1"/>
                <c:pt idx="0">
                  <c:v>1/9/2020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(2)'!$AD$7:$AD$20</c:f>
              <c:numCache>
                <c:formatCode>General</c:formatCode>
                <c:ptCount val="14"/>
                <c:pt idx="0">
                  <c:v>0.11522429041499538</c:v>
                </c:pt>
                <c:pt idx="1">
                  <c:v>5.7277579904318261E-2</c:v>
                </c:pt>
                <c:pt idx="2">
                  <c:v>4.8712708142924881E-2</c:v>
                </c:pt>
                <c:pt idx="3">
                  <c:v>3.9612531896444411E-2</c:v>
                </c:pt>
                <c:pt idx="4">
                  <c:v>3.9612531896444411E-2</c:v>
                </c:pt>
                <c:pt idx="5">
                  <c:v>3.6133052743378344E-2</c:v>
                </c:pt>
                <c:pt idx="6">
                  <c:v>3.8876488229449661E-2</c:v>
                </c:pt>
                <c:pt idx="7">
                  <c:v>3.3590356439214687E-2</c:v>
                </c:pt>
                <c:pt idx="8">
                  <c:v>2.3687223465103581E-2</c:v>
                </c:pt>
                <c:pt idx="9">
                  <c:v>2.2750440616201181E-2</c:v>
                </c:pt>
                <c:pt idx="10">
                  <c:v>1.539000394625374E-2</c:v>
                </c:pt>
                <c:pt idx="11">
                  <c:v>7.2266105486756696E-3</c:v>
                </c:pt>
                <c:pt idx="12">
                  <c:v>5.3530448508708661E-4</c:v>
                </c:pt>
                <c:pt idx="13">
                  <c:v>3.3456530317942915E-4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61-4B8F-A90B-D22653995403}"/>
            </c:ext>
          </c:extLst>
        </c:ser>
        <c:ser>
          <c:idx val="27"/>
          <c:order val="27"/>
          <c:tx>
            <c:strRef>
              <c:f>'Sheet1 (Editted) (2)'!$AE$5</c:f>
              <c:strCache>
                <c:ptCount val="1"/>
                <c:pt idx="0">
                  <c:v>2/8/2020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(2)'!$AE$7:$AE$20</c:f>
              <c:numCache>
                <c:formatCode>General</c:formatCode>
                <c:ptCount val="14"/>
                <c:pt idx="0">
                  <c:v>0.12010894384141504</c:v>
                </c:pt>
                <c:pt idx="1">
                  <c:v>5.8883493359579521E-2</c:v>
                </c:pt>
                <c:pt idx="2">
                  <c:v>4.9381838749283744E-2</c:v>
                </c:pt>
                <c:pt idx="3">
                  <c:v>3.9077227411357322E-2</c:v>
                </c:pt>
                <c:pt idx="4">
                  <c:v>3.8943401290085548E-2</c:v>
                </c:pt>
                <c:pt idx="5">
                  <c:v>3.6066139682742464E-2</c:v>
                </c:pt>
                <c:pt idx="6">
                  <c:v>4.0415488624075041E-2</c:v>
                </c:pt>
                <c:pt idx="7">
                  <c:v>3.6266878864650118E-2</c:v>
                </c:pt>
                <c:pt idx="8">
                  <c:v>2.6363745890539012E-2</c:v>
                </c:pt>
                <c:pt idx="9">
                  <c:v>2.50254846778213E-2</c:v>
                </c:pt>
                <c:pt idx="10">
                  <c:v>1.6527525977063799E-2</c:v>
                </c:pt>
                <c:pt idx="11">
                  <c:v>8.0295672763062986E-3</c:v>
                </c:pt>
                <c:pt idx="12">
                  <c:v>4.6839142445120077E-4</c:v>
                </c:pt>
                <c:pt idx="13">
                  <c:v>8.0295672763062986E-4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61-4B8F-A90B-D22653995403}"/>
            </c:ext>
          </c:extLst>
        </c:ser>
        <c:ser>
          <c:idx val="28"/>
          <c:order val="28"/>
          <c:tx>
            <c:strRef>
              <c:f>'Sheet1 (Editted) (2)'!$AF$5</c:f>
              <c:strCache>
                <c:ptCount val="1"/>
                <c:pt idx="0">
                  <c:v>3/12/2020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(2)'!$AF$7:$AF$20</c:f>
              <c:numCache>
                <c:formatCode>General</c:formatCode>
                <c:ptCount val="14"/>
                <c:pt idx="0">
                  <c:v>0.12499359726783471</c:v>
                </c:pt>
                <c:pt idx="1">
                  <c:v>6.2296059452009701E-2</c:v>
                </c:pt>
                <c:pt idx="2">
                  <c:v>5.19245350534474E-2</c:v>
                </c:pt>
                <c:pt idx="3">
                  <c:v>4.028166250280326E-2</c:v>
                </c:pt>
                <c:pt idx="4">
                  <c:v>3.9612531896444411E-2</c:v>
                </c:pt>
                <c:pt idx="5">
                  <c:v>3.6802183349737207E-2</c:v>
                </c:pt>
                <c:pt idx="6">
                  <c:v>4.3025097988874585E-2</c:v>
                </c:pt>
                <c:pt idx="7">
                  <c:v>4.1887575958064527E-2</c:v>
                </c:pt>
                <c:pt idx="8">
                  <c:v>3.2519747469040509E-2</c:v>
                </c:pt>
                <c:pt idx="9">
                  <c:v>2.9241007497882106E-2</c:v>
                </c:pt>
                <c:pt idx="10">
                  <c:v>1.8936396159955689E-2</c:v>
                </c:pt>
                <c:pt idx="11">
                  <c:v>1.0170785216654646E-2</c:v>
                </c:pt>
                <c:pt idx="12">
                  <c:v>4.6839142445120077E-4</c:v>
                </c:pt>
                <c:pt idx="13">
                  <c:v>1.2044350914459448E-3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E-4392-B7B6-84B4AF29DDA6}"/>
            </c:ext>
          </c:extLst>
        </c:ser>
        <c:ser>
          <c:idx val="29"/>
          <c:order val="29"/>
          <c:tx>
            <c:strRef>
              <c:f>'Sheet1 (Editted) (2)'!$AG$5</c:f>
              <c:strCache>
                <c:ptCount val="1"/>
                <c:pt idx="0">
                  <c:v>4/3/2020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(2)'!$AG$7:$AG$20</c:f>
              <c:numCache>
                <c:formatCode>General</c:formatCode>
                <c:ptCount val="14"/>
                <c:pt idx="0">
                  <c:v>0.11923907405314854</c:v>
                </c:pt>
                <c:pt idx="1">
                  <c:v>5.7143753783046494E-2</c:v>
                </c:pt>
                <c:pt idx="2">
                  <c:v>4.6571490202576532E-2</c:v>
                </c:pt>
                <c:pt idx="3">
                  <c:v>3.4527139288117084E-2</c:v>
                </c:pt>
                <c:pt idx="4">
                  <c:v>3.3657269499850567E-2</c:v>
                </c:pt>
                <c:pt idx="5">
                  <c:v>3.0780007892507479E-2</c:v>
                </c:pt>
                <c:pt idx="6">
                  <c:v>3.7270574774188402E-2</c:v>
                </c:pt>
                <c:pt idx="7">
                  <c:v>3.6400704985921885E-2</c:v>
                </c:pt>
                <c:pt idx="8">
                  <c:v>2.7768920163892617E-2</c:v>
                </c:pt>
                <c:pt idx="9">
                  <c:v>2.59622675267237E-2</c:v>
                </c:pt>
                <c:pt idx="10">
                  <c:v>1.5657656188797282E-2</c:v>
                </c:pt>
                <c:pt idx="11">
                  <c:v>7.8957411550345264E-3</c:v>
                </c:pt>
                <c:pt idx="12">
                  <c:v>1.1375220308100589E-3</c:v>
                </c:pt>
                <c:pt idx="13">
                  <c:v>3.3456530317942915E-4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E-4392-B7B6-84B4AF29DDA6}"/>
            </c:ext>
          </c:extLst>
        </c:ser>
        <c:ser>
          <c:idx val="30"/>
          <c:order val="30"/>
          <c:tx>
            <c:strRef>
              <c:f>'Sheet1 (Editted) (2)'!$AH$5</c:f>
              <c:strCache>
                <c:ptCount val="1"/>
                <c:pt idx="0">
                  <c:v>5/2/2020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(2)'!$AH$7:$AH$20</c:f>
              <c:numCache>
                <c:formatCode>General</c:formatCode>
                <c:ptCount val="14"/>
                <c:pt idx="0">
                  <c:v>0.13081503354315679</c:v>
                </c:pt>
                <c:pt idx="1">
                  <c:v>6.6645408393342279E-2</c:v>
                </c:pt>
                <c:pt idx="2">
                  <c:v>5.5805492570328775E-2</c:v>
                </c:pt>
                <c:pt idx="3">
                  <c:v>4.2422880443151609E-2</c:v>
                </c:pt>
                <c:pt idx="4">
                  <c:v>4.101770616979801E-2</c:v>
                </c:pt>
                <c:pt idx="5">
                  <c:v>3.760514007736783E-2</c:v>
                </c:pt>
                <c:pt idx="6">
                  <c:v>4.3894967777141101E-2</c:v>
                </c:pt>
                <c:pt idx="7">
                  <c:v>4.3092011049510472E-2</c:v>
                </c:pt>
                <c:pt idx="8">
                  <c:v>3.3791095621122341E-2</c:v>
                </c:pt>
                <c:pt idx="9">
                  <c:v>3.0378529528692164E-2</c:v>
                </c:pt>
                <c:pt idx="10">
                  <c:v>1.9270961463135117E-2</c:v>
                </c:pt>
                <c:pt idx="11">
                  <c:v>1.0706089701741733E-2</c:v>
                </c:pt>
                <c:pt idx="12">
                  <c:v>3.3456530317942915E-4</c:v>
                </c:pt>
                <c:pt idx="13">
                  <c:v>1.1375220308100589E-3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E7-4CEC-9544-B616CC8C7AEB}"/>
            </c:ext>
          </c:extLst>
        </c:ser>
        <c:ser>
          <c:idx val="31"/>
          <c:order val="31"/>
          <c:tx>
            <c:strRef>
              <c:f>'Sheet1 (Editted) (2)'!$AI$5</c:f>
              <c:strCache>
                <c:ptCount val="1"/>
                <c:pt idx="0">
                  <c:v>5/31/2020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(2)'!$AI$7:$AI$20</c:f>
              <c:numCache>
                <c:formatCode>General</c:formatCode>
                <c:ptCount val="14"/>
                <c:pt idx="0">
                  <c:v>0.13476290412067404</c:v>
                </c:pt>
                <c:pt idx="1">
                  <c:v>6.9121191636870055E-2</c:v>
                </c:pt>
                <c:pt idx="2">
                  <c:v>5.8883493359579521E-2</c:v>
                </c:pt>
                <c:pt idx="3">
                  <c:v>4.5902359596217669E-2</c:v>
                </c:pt>
                <c:pt idx="4">
                  <c:v>4.4965576747315272E-2</c:v>
                </c:pt>
                <c:pt idx="5">
                  <c:v>4.1686836776156866E-2</c:v>
                </c:pt>
                <c:pt idx="6">
                  <c:v>4.8913447324832535E-2</c:v>
                </c:pt>
                <c:pt idx="7">
                  <c:v>4.9850230173734938E-2</c:v>
                </c:pt>
                <c:pt idx="8">
                  <c:v>4.0616227805982695E-2</c:v>
                </c:pt>
                <c:pt idx="9">
                  <c:v>3.5664661318927142E-2</c:v>
                </c:pt>
                <c:pt idx="10">
                  <c:v>2.2415875313021753E-2</c:v>
                </c:pt>
                <c:pt idx="11">
                  <c:v>1.3650264369720709E-2</c:v>
                </c:pt>
                <c:pt idx="12">
                  <c:v>2.4757832435277757E-3</c:v>
                </c:pt>
                <c:pt idx="13">
                  <c:v>1.8735656978048031E-3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E7-4CEC-9544-B616CC8C7AEB}"/>
            </c:ext>
          </c:extLst>
        </c:ser>
        <c:ser>
          <c:idx val="32"/>
          <c:order val="32"/>
          <c:tx>
            <c:strRef>
              <c:f>'Sheet1 (Editted) (2)'!$AJ$5</c:f>
              <c:strCache>
                <c:ptCount val="1"/>
                <c:pt idx="0">
                  <c:v>7/12/2020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(2)'!$AJ$7:$AJ$20</c:f>
              <c:numCache>
                <c:formatCode>General</c:formatCode>
                <c:ptCount val="14"/>
                <c:pt idx="0">
                  <c:v>0.13416068657495109</c:v>
                </c:pt>
                <c:pt idx="1">
                  <c:v>7.1931540183577253E-2</c:v>
                </c:pt>
                <c:pt idx="2">
                  <c:v>6.2362972512645588E-2</c:v>
                </c:pt>
                <c:pt idx="3">
                  <c:v>4.9114186506740203E-2</c:v>
                </c:pt>
                <c:pt idx="4">
                  <c:v>4.7909751415294251E-2</c:v>
                </c:pt>
                <c:pt idx="5">
                  <c:v>4.4162620019684642E-2</c:v>
                </c:pt>
                <c:pt idx="6">
                  <c:v>5.2125274235355054E-2</c:v>
                </c:pt>
                <c:pt idx="7">
                  <c:v>5.4601057478882838E-2</c:v>
                </c:pt>
                <c:pt idx="8">
                  <c:v>4.4831750626043505E-2</c:v>
                </c:pt>
                <c:pt idx="9">
                  <c:v>3.9010314350721435E-2</c:v>
                </c:pt>
                <c:pt idx="10">
                  <c:v>2.4021788768283012E-2</c:v>
                </c:pt>
                <c:pt idx="11">
                  <c:v>1.4854699461166654E-2</c:v>
                </c:pt>
                <c:pt idx="12">
                  <c:v>3.0780007892507477E-3</c:v>
                </c:pt>
                <c:pt idx="13">
                  <c:v>2.0073918190765747E-3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E7-4CEC-9544-B616CC8C7AEB}"/>
            </c:ext>
          </c:extLst>
        </c:ser>
        <c:ser>
          <c:idx val="33"/>
          <c:order val="33"/>
          <c:tx>
            <c:strRef>
              <c:f>'Sheet1 (Editted) (2)'!$AK$5</c:f>
              <c:strCache>
                <c:ptCount val="1"/>
                <c:pt idx="0">
                  <c:v>9/4/2020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(2)'!$AK$7:$AK$20</c:f>
              <c:numCache>
                <c:formatCode>General</c:formatCode>
                <c:ptCount val="14"/>
                <c:pt idx="0">
                  <c:v>0.14252481915443679</c:v>
                </c:pt>
                <c:pt idx="1">
                  <c:v>6.8652800212418846E-2</c:v>
                </c:pt>
                <c:pt idx="2">
                  <c:v>5.9820276208481925E-2</c:v>
                </c:pt>
                <c:pt idx="3">
                  <c:v>4.5768533474945902E-2</c:v>
                </c:pt>
                <c:pt idx="4">
                  <c:v>4.4296446140956409E-2</c:v>
                </c:pt>
                <c:pt idx="5">
                  <c:v>4.0883880048526236E-2</c:v>
                </c:pt>
                <c:pt idx="6">
                  <c:v>5.031862159818614E-2</c:v>
                </c:pt>
                <c:pt idx="7">
                  <c:v>5.5069448903334033E-2</c:v>
                </c:pt>
                <c:pt idx="8">
                  <c:v>4.690605550575596E-2</c:v>
                </c:pt>
                <c:pt idx="9">
                  <c:v>4.0616227805982695E-2</c:v>
                </c:pt>
                <c:pt idx="10">
                  <c:v>2.3352658161924153E-2</c:v>
                </c:pt>
                <c:pt idx="11">
                  <c:v>1.539000394625374E-2</c:v>
                </c:pt>
                <c:pt idx="12">
                  <c:v>2.9441746679789763E-3</c:v>
                </c:pt>
                <c:pt idx="13">
                  <c:v>2.0073918190765747E-3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0E-4423-83F6-8255A389F2F0}"/>
            </c:ext>
          </c:extLst>
        </c:ser>
        <c:ser>
          <c:idx val="34"/>
          <c:order val="34"/>
          <c:tx>
            <c:strRef>
              <c:f>'Sheet1 (Editted) (2)'!$AL$5</c:f>
              <c:strCache>
                <c:ptCount val="1"/>
                <c:pt idx="0">
                  <c:v>11/3/2020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(2)'!$AL$7:$AL$20</c:f>
              <c:numCache>
                <c:formatCode>General</c:formatCode>
                <c:ptCount val="14"/>
                <c:pt idx="0">
                  <c:v>0.16473995528555091</c:v>
                </c:pt>
                <c:pt idx="1">
                  <c:v>7.7552237276991676E-2</c:v>
                </c:pt>
                <c:pt idx="2">
                  <c:v>6.9388843879413603E-2</c:v>
                </c:pt>
                <c:pt idx="3">
                  <c:v>5.5069448903334033E-2</c:v>
                </c:pt>
                <c:pt idx="4">
                  <c:v>5.2526752599170369E-2</c:v>
                </c:pt>
                <c:pt idx="5">
                  <c:v>4.8043577536566025E-2</c:v>
                </c:pt>
                <c:pt idx="6">
                  <c:v>5.7277579904318261E-2</c:v>
                </c:pt>
                <c:pt idx="7">
                  <c:v>6.1827668027558499E-2</c:v>
                </c:pt>
                <c:pt idx="8">
                  <c:v>5.2861317902349804E-2</c:v>
                </c:pt>
                <c:pt idx="9">
                  <c:v>4.5099402868587046E-2</c:v>
                </c:pt>
                <c:pt idx="10">
                  <c:v>2.6029180587359584E-2</c:v>
                </c:pt>
                <c:pt idx="11">
                  <c:v>1.7129743522786772E-2</c:v>
                </c:pt>
                <c:pt idx="12">
                  <c:v>3.3456530317942912E-3</c:v>
                </c:pt>
                <c:pt idx="13">
                  <c:v>2.0743048797124603E-3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0E-4423-83F6-8255A389F2F0}"/>
            </c:ext>
          </c:extLst>
        </c:ser>
        <c:ser>
          <c:idx val="35"/>
          <c:order val="35"/>
          <c:tx>
            <c:strRef>
              <c:f>'Sheet1 (Editted) (2)'!$AM$5</c:f>
              <c:strCache>
                <c:ptCount val="1"/>
                <c:pt idx="0">
                  <c:v>2/4/2021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(2)'!$AM$7:$AM$20</c:f>
              <c:numCache>
                <c:formatCode>General</c:formatCode>
                <c:ptCount val="14"/>
                <c:pt idx="0">
                  <c:v>0.17276952256185718</c:v>
                </c:pt>
                <c:pt idx="1">
                  <c:v>7.3403627517566752E-2</c:v>
                </c:pt>
                <c:pt idx="2">
                  <c:v>6.4571103513629824E-2</c:v>
                </c:pt>
                <c:pt idx="3">
                  <c:v>5.1255404447088544E-2</c:v>
                </c:pt>
                <c:pt idx="4">
                  <c:v>4.8177403657837792E-2</c:v>
                </c:pt>
                <c:pt idx="5">
                  <c:v>4.2222141261243955E-2</c:v>
                </c:pt>
                <c:pt idx="6">
                  <c:v>5.5470927267149348E-2</c:v>
                </c:pt>
                <c:pt idx="7">
                  <c:v>6.7448365120972908E-2</c:v>
                </c:pt>
                <c:pt idx="8">
                  <c:v>6.2563711694553242E-2</c:v>
                </c:pt>
                <c:pt idx="9">
                  <c:v>5.2526752599170369E-2</c:v>
                </c:pt>
                <c:pt idx="10">
                  <c:v>2.6096093647995471E-2</c:v>
                </c:pt>
                <c:pt idx="11">
                  <c:v>1.8869483099319802E-2</c:v>
                </c:pt>
                <c:pt idx="12">
                  <c:v>4.0816966987890354E-3</c:v>
                </c:pt>
                <c:pt idx="13">
                  <c:v>1.3382612127177165E-4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0E-4423-83F6-8255A389F2F0}"/>
            </c:ext>
          </c:extLst>
        </c:ser>
        <c:ser>
          <c:idx val="36"/>
          <c:order val="36"/>
          <c:tx>
            <c:strRef>
              <c:f>'Sheet1 (Editted) (2)'!$AN$5</c:f>
              <c:strCache>
                <c:ptCount val="1"/>
                <c:pt idx="0">
                  <c:v>6/8/2021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(2)'!$AN$7:$AN$20</c:f>
              <c:numCache>
                <c:formatCode>General</c:formatCode>
                <c:ptCount val="14"/>
                <c:pt idx="0">
                  <c:v>0.17276952256185718</c:v>
                </c:pt>
                <c:pt idx="1">
                  <c:v>7.3403627517566752E-2</c:v>
                </c:pt>
                <c:pt idx="2">
                  <c:v>6.4571103513629824E-2</c:v>
                </c:pt>
                <c:pt idx="3">
                  <c:v>5.1255404447088544E-2</c:v>
                </c:pt>
                <c:pt idx="4">
                  <c:v>4.8177403657837792E-2</c:v>
                </c:pt>
                <c:pt idx="5">
                  <c:v>4.2222141261243955E-2</c:v>
                </c:pt>
                <c:pt idx="6">
                  <c:v>5.5470927267149348E-2</c:v>
                </c:pt>
                <c:pt idx="7">
                  <c:v>6.7448365120972908E-2</c:v>
                </c:pt>
                <c:pt idx="8">
                  <c:v>6.2563711694553242E-2</c:v>
                </c:pt>
                <c:pt idx="9">
                  <c:v>5.2526752599170369E-2</c:v>
                </c:pt>
                <c:pt idx="10">
                  <c:v>2.6096093647995471E-2</c:v>
                </c:pt>
                <c:pt idx="11">
                  <c:v>1.8869483099319802E-2</c:v>
                </c:pt>
                <c:pt idx="12">
                  <c:v>4.0816966987890354E-3</c:v>
                </c:pt>
                <c:pt idx="13">
                  <c:v>1.3382612127177165E-4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C3-4657-8697-4C600B629D59}"/>
            </c:ext>
          </c:extLst>
        </c:ser>
        <c:ser>
          <c:idx val="37"/>
          <c:order val="37"/>
          <c:tx>
            <c:strRef>
              <c:f>'Sheet1 (Editted) (2)'!$AO$5</c:f>
              <c:strCache>
                <c:ptCount val="1"/>
                <c:pt idx="0">
                  <c:v>2/21/2022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(2)'!$AO$7:$AO$20</c:f>
              <c:numCache>
                <c:formatCode>General</c:formatCode>
                <c:ptCount val="14"/>
                <c:pt idx="0">
                  <c:v>0.21211440221575806</c:v>
                </c:pt>
                <c:pt idx="1">
                  <c:v>9.8228373013480405E-2</c:v>
                </c:pt>
                <c:pt idx="2">
                  <c:v>8.6652413523472138E-2</c:v>
                </c:pt>
                <c:pt idx="3">
                  <c:v>7.1463148759126058E-2</c:v>
                </c:pt>
                <c:pt idx="4">
                  <c:v>6.5976277786983423E-2</c:v>
                </c:pt>
                <c:pt idx="5">
                  <c:v>5.6943014601138833E-2</c:v>
                </c:pt>
                <c:pt idx="6">
                  <c:v>6.7716017363516456E-2</c:v>
                </c:pt>
                <c:pt idx="7">
                  <c:v>7.5143367094099772E-2</c:v>
                </c:pt>
                <c:pt idx="8">
                  <c:v>6.6511582272070505E-2</c:v>
                </c:pt>
                <c:pt idx="9">
                  <c:v>5.7344492964954148E-2</c:v>
                </c:pt>
                <c:pt idx="10">
                  <c:v>3.5263182955111827E-2</c:v>
                </c:pt>
                <c:pt idx="11">
                  <c:v>2.4088701828918896E-2</c:v>
                </c:pt>
                <c:pt idx="12">
                  <c:v>6.022175457229724E-3</c:v>
                </c:pt>
                <c:pt idx="13">
                  <c:v>3.1449138498866338E-3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18-41D0-8AB9-E66CC08C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04056"/>
        <c:axId val="624697168"/>
      </c:scatterChart>
      <c:valAx>
        <c:axId val="624704056"/>
        <c:scaling>
          <c:orientation val="minMax"/>
          <c:max val="1"/>
          <c:min val="-1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Displacement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697168"/>
        <c:crosses val="autoZero"/>
        <c:crossBetween val="midCat"/>
        <c:majorUnit val="0.2"/>
      </c:valAx>
      <c:valAx>
        <c:axId val="624697168"/>
        <c:scaling>
          <c:orientation val="maxMin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Depth (ft)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704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7200694233701402E-2"/>
          <c:y val="9.3904627496031928E-2"/>
          <c:w val="0.88958671715682369"/>
          <c:h val="0.41840375685080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Metro Center Slope-SI 1B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'Sheet1 (Editted) (2)'!$D$5</c:f>
              <c:strCache>
                <c:ptCount val="1"/>
                <c:pt idx="0">
                  <c:v>10/6/2018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(2)'!$D$6:$D$20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E6-4EA2-981E-3FD9DD8969BB}"/>
            </c:ext>
          </c:extLst>
        </c:ser>
        <c:ser>
          <c:idx val="1"/>
          <c:order val="1"/>
          <c:tx>
            <c:strRef>
              <c:f>'Sheet1 (Editted) (2)'!$E$5</c:f>
              <c:strCache>
                <c:ptCount val="1"/>
                <c:pt idx="0">
                  <c:v>10/31/2018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(2)'!$E$30:$E$44</c:f>
              <c:numCache>
                <c:formatCode>General</c:formatCode>
                <c:ptCount val="15"/>
                <c:pt idx="1">
                  <c:v>3.2787399711584051E-3</c:v>
                </c:pt>
                <c:pt idx="2">
                  <c:v>4.4831750626043504E-3</c:v>
                </c:pt>
                <c:pt idx="3">
                  <c:v>7.8957411550345264E-3</c:v>
                </c:pt>
                <c:pt idx="4">
                  <c:v>3.6133052743378348E-3</c:v>
                </c:pt>
                <c:pt idx="5">
                  <c:v>2.9441746679789763E-3</c:v>
                </c:pt>
                <c:pt idx="6">
                  <c:v>2.9441746679789763E-3</c:v>
                </c:pt>
                <c:pt idx="7">
                  <c:v>5.1523056689632089E-3</c:v>
                </c:pt>
                <c:pt idx="8">
                  <c:v>8.0295672763062986E-3</c:v>
                </c:pt>
                <c:pt idx="9">
                  <c:v>1.1776698671915905E-2</c:v>
                </c:pt>
                <c:pt idx="10">
                  <c:v>1.6059134552612597E-2</c:v>
                </c:pt>
                <c:pt idx="11">
                  <c:v>1.0839915823013503E-2</c:v>
                </c:pt>
                <c:pt idx="12">
                  <c:v>8.7656109433010432E-3</c:v>
                </c:pt>
                <c:pt idx="13">
                  <c:v>3.6133052743378348E-3</c:v>
                </c:pt>
                <c:pt idx="14">
                  <c:v>3.8809575168813775E-3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E6-4EA2-981E-3FD9DD8969BB}"/>
            </c:ext>
          </c:extLst>
        </c:ser>
        <c:ser>
          <c:idx val="2"/>
          <c:order val="2"/>
          <c:tx>
            <c:strRef>
              <c:f>'Sheet1 (Editted) (2)'!$F$5</c:f>
              <c:strCache>
                <c:ptCount val="1"/>
                <c:pt idx="0">
                  <c:v>11/13/2018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(2)'!$F$30:$F$44</c:f>
              <c:numCache>
                <c:formatCode>General</c:formatCode>
                <c:ptCount val="15"/>
                <c:pt idx="1">
                  <c:v>7.8957411550345264E-3</c:v>
                </c:pt>
                <c:pt idx="2">
                  <c:v>2.4088701828918896E-3</c:v>
                </c:pt>
                <c:pt idx="3">
                  <c:v>1.4854699461166654E-2</c:v>
                </c:pt>
                <c:pt idx="4">
                  <c:v>1.3382612127177165E-2</c:v>
                </c:pt>
                <c:pt idx="5">
                  <c:v>1.3382612127177165E-2</c:v>
                </c:pt>
                <c:pt idx="6">
                  <c:v>1.4453221097351339E-2</c:v>
                </c:pt>
                <c:pt idx="7">
                  <c:v>7.3604366699474401E-3</c:v>
                </c:pt>
                <c:pt idx="8">
                  <c:v>3.7471313956096062E-3</c:v>
                </c:pt>
                <c:pt idx="9">
                  <c:v>5.3530448508708661E-4</c:v>
                </c:pt>
                <c:pt idx="10">
                  <c:v>4.4162620019684642E-3</c:v>
                </c:pt>
                <c:pt idx="11">
                  <c:v>3.4794791530660626E-3</c:v>
                </c:pt>
                <c:pt idx="12">
                  <c:v>2.1412179403483464E-3</c:v>
                </c:pt>
                <c:pt idx="13">
                  <c:v>2.9441746679789763E-3</c:v>
                </c:pt>
                <c:pt idx="14">
                  <c:v>5.7545232146861813E-3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E6-4EA2-981E-3FD9DD8969BB}"/>
            </c:ext>
          </c:extLst>
        </c:ser>
        <c:ser>
          <c:idx val="3"/>
          <c:order val="3"/>
          <c:tx>
            <c:strRef>
              <c:f>'Sheet1 (Editted) (2)'!$G$5</c:f>
              <c:strCache>
                <c:ptCount val="1"/>
                <c:pt idx="0">
                  <c:v>12/5/2018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(2)'!$G$30:$G$44</c:f>
              <c:numCache>
                <c:formatCode>General</c:formatCode>
                <c:ptCount val="15"/>
                <c:pt idx="1">
                  <c:v>2.0475396554581062E-2</c:v>
                </c:pt>
                <c:pt idx="2">
                  <c:v>1.9404787584406888E-3</c:v>
                </c:pt>
                <c:pt idx="3">
                  <c:v>1.0304611337926418E-2</c:v>
                </c:pt>
                <c:pt idx="4">
                  <c:v>7.7619150337627551E-3</c:v>
                </c:pt>
                <c:pt idx="5">
                  <c:v>8.0295672763062986E-3</c:v>
                </c:pt>
                <c:pt idx="6">
                  <c:v>9.5685676709316731E-3</c:v>
                </c:pt>
                <c:pt idx="7">
                  <c:v>2.7434354860713188E-3</c:v>
                </c:pt>
                <c:pt idx="8">
                  <c:v>3.3456530317942915E-4</c:v>
                </c:pt>
                <c:pt idx="9">
                  <c:v>3.1449138498866338E-3</c:v>
                </c:pt>
                <c:pt idx="10">
                  <c:v>7.0927844274038974E-3</c:v>
                </c:pt>
                <c:pt idx="11">
                  <c:v>7.6950019731268698E-3</c:v>
                </c:pt>
                <c:pt idx="12">
                  <c:v>5.3530448508708663E-3</c:v>
                </c:pt>
                <c:pt idx="13">
                  <c:v>2.4757832435277757E-3</c:v>
                </c:pt>
                <c:pt idx="14">
                  <c:v>6.022175457229724E-3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E6-4EA2-981E-3FD9DD8969BB}"/>
            </c:ext>
          </c:extLst>
        </c:ser>
        <c:ser>
          <c:idx val="4"/>
          <c:order val="4"/>
          <c:tx>
            <c:strRef>
              <c:f>'Sheet1 (Editted) (2)'!$H$5</c:f>
              <c:strCache>
                <c:ptCount val="1"/>
                <c:pt idx="0">
                  <c:v>12/18/2018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(2)'!$H$30:$H$44</c:f>
              <c:numCache>
                <c:formatCode>General</c:formatCode>
                <c:ptCount val="15"/>
                <c:pt idx="1">
                  <c:v>3.6869096410373094E-2</c:v>
                </c:pt>
                <c:pt idx="2">
                  <c:v>1.4319394976079565E-2</c:v>
                </c:pt>
                <c:pt idx="3">
                  <c:v>4.0147836381531493E-4</c:v>
                </c:pt>
                <c:pt idx="4">
                  <c:v>2.3419571222560039E-3</c:v>
                </c:pt>
                <c:pt idx="5">
                  <c:v>1.2044350914459448E-3</c:v>
                </c:pt>
                <c:pt idx="6">
                  <c:v>6.6913060635885825E-3</c:v>
                </c:pt>
                <c:pt idx="7">
                  <c:v>4.1486097594249207E-3</c:v>
                </c:pt>
                <c:pt idx="8">
                  <c:v>1.0706089701741732E-3</c:v>
                </c:pt>
                <c:pt idx="9">
                  <c:v>4.2824358806966929E-3</c:v>
                </c:pt>
                <c:pt idx="10">
                  <c:v>8.9663501252087007E-3</c:v>
                </c:pt>
                <c:pt idx="11">
                  <c:v>1.1977437853823563E-2</c:v>
                </c:pt>
                <c:pt idx="12">
                  <c:v>9.5685676709316731E-3</c:v>
                </c:pt>
                <c:pt idx="13">
                  <c:v>5.6876101540502952E-3</c:v>
                </c:pt>
                <c:pt idx="14">
                  <c:v>8.2972195188498413E-3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E6-4EA2-981E-3FD9DD8969BB}"/>
            </c:ext>
          </c:extLst>
        </c:ser>
        <c:ser>
          <c:idx val="5"/>
          <c:order val="5"/>
          <c:tx>
            <c:strRef>
              <c:f>'Sheet1 (Editted) (2)'!$I$5</c:f>
              <c:strCache>
                <c:ptCount val="1"/>
                <c:pt idx="0">
                  <c:v>1/5/2019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(2)'!$I$30:$I$44</c:f>
              <c:numCache>
                <c:formatCode>General</c:formatCode>
                <c:ptCount val="15"/>
                <c:pt idx="1">
                  <c:v>4.2824358806966931E-2</c:v>
                </c:pt>
                <c:pt idx="2">
                  <c:v>1.6995917401514998E-2</c:v>
                </c:pt>
                <c:pt idx="3">
                  <c:v>3.6802183349737201E-3</c:v>
                </c:pt>
                <c:pt idx="4">
                  <c:v>7.2935236093115549E-3</c:v>
                </c:pt>
                <c:pt idx="5">
                  <c:v>5.9552623965938379E-3</c:v>
                </c:pt>
                <c:pt idx="6">
                  <c:v>1.3382612127177166E-3</c:v>
                </c:pt>
                <c:pt idx="7">
                  <c:v>3.9478705775172632E-3</c:v>
                </c:pt>
                <c:pt idx="8">
                  <c:v>6.5574799423168103E-3</c:v>
                </c:pt>
                <c:pt idx="9">
                  <c:v>1.0438437459198188E-2</c:v>
                </c:pt>
                <c:pt idx="10">
                  <c:v>1.3114959884633621E-2</c:v>
                </c:pt>
                <c:pt idx="11">
                  <c:v>1.2780394581454191E-2</c:v>
                </c:pt>
                <c:pt idx="12">
                  <c:v>8.8325240039369285E-3</c:v>
                </c:pt>
                <c:pt idx="13">
                  <c:v>3.9478705775172632E-3</c:v>
                </c:pt>
                <c:pt idx="14">
                  <c:v>6.8920452454962399E-3</c:v>
                </c:pt>
              </c:numCache>
            </c:numRef>
          </c:xVal>
          <c:yVal>
            <c:numRef>
              <c:f>'Sheet1 (Editted) (2)'!$C$6:$C$20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E6-4EA2-981E-3FD9DD8969BB}"/>
            </c:ext>
          </c:extLst>
        </c:ser>
        <c:ser>
          <c:idx val="6"/>
          <c:order val="6"/>
          <c:tx>
            <c:strRef>
              <c:f>'Sheet1 (Editted) (2)'!$J$5</c:f>
              <c:strCache>
                <c:ptCount val="1"/>
                <c:pt idx="0">
                  <c:v>1/21/2019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(2)'!$J$30:$J$44</c:f>
              <c:numCache>
                <c:formatCode>General</c:formatCode>
                <c:ptCount val="15"/>
                <c:pt idx="1">
                  <c:v>2.4891658556549526E-2</c:v>
                </c:pt>
                <c:pt idx="2">
                  <c:v>1.8735656978048031E-3</c:v>
                </c:pt>
                <c:pt idx="3">
                  <c:v>1.0438437459198188E-2</c:v>
                </c:pt>
                <c:pt idx="4">
                  <c:v>3.6802183349737201E-3</c:v>
                </c:pt>
                <c:pt idx="5">
                  <c:v>4.2824358806966929E-3</c:v>
                </c:pt>
                <c:pt idx="6">
                  <c:v>5.2861317902349802E-3</c:v>
                </c:pt>
                <c:pt idx="7">
                  <c:v>7.3604366699474408E-4</c:v>
                </c:pt>
                <c:pt idx="8">
                  <c:v>6.0890885178656101E-3</c:v>
                </c:pt>
                <c:pt idx="9">
                  <c:v>1.1642872550644133E-2</c:v>
                </c:pt>
                <c:pt idx="10">
                  <c:v>1.5189264764346082E-2</c:v>
                </c:pt>
                <c:pt idx="11">
                  <c:v>1.5122351703710195E-2</c:v>
                </c:pt>
                <c:pt idx="12">
                  <c:v>1.0304611337926418E-2</c:v>
                </c:pt>
                <c:pt idx="13">
                  <c:v>4.2824358806966929E-3</c:v>
                </c:pt>
                <c:pt idx="14">
                  <c:v>6.8920452454962399E-3</c:v>
                </c:pt>
              </c:numCache>
            </c:numRef>
          </c:xVal>
          <c:yVal>
            <c:numRef>
              <c:f>'Sheet1 (Editted) (2)'!$C$6:$C$19</c:f>
              <c:numCache>
                <c:formatCode>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E6-4EA2-981E-3FD9DD8969BB}"/>
            </c:ext>
          </c:extLst>
        </c:ser>
        <c:ser>
          <c:idx val="7"/>
          <c:order val="7"/>
          <c:tx>
            <c:strRef>
              <c:f>'Sheet1 (Editted) (2)'!$K$29</c:f>
              <c:strCache>
                <c:ptCount val="1"/>
                <c:pt idx="0">
                  <c:v>2/6/2019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(2)'!$K$30:$K$44</c:f>
              <c:numCache>
                <c:formatCode>General</c:formatCode>
                <c:ptCount val="15"/>
                <c:pt idx="1">
                  <c:v>4.0683140866618582E-2</c:v>
                </c:pt>
                <c:pt idx="2">
                  <c:v>1.6995917401514998E-2</c:v>
                </c:pt>
                <c:pt idx="3">
                  <c:v>4.3493489413325781E-3</c:v>
                </c:pt>
                <c:pt idx="4">
                  <c:v>9.1670893071163582E-3</c:v>
                </c:pt>
                <c:pt idx="5">
                  <c:v>8.7656109433010432E-3</c:v>
                </c:pt>
                <c:pt idx="6">
                  <c:v>5.3530448508708663E-3</c:v>
                </c:pt>
                <c:pt idx="7">
                  <c:v>9.970046034746988E-3</c:v>
                </c:pt>
                <c:pt idx="8">
                  <c:v>1.1107568065557048E-2</c:v>
                </c:pt>
                <c:pt idx="9">
                  <c:v>1.4185568854807795E-2</c:v>
                </c:pt>
                <c:pt idx="10">
                  <c:v>1.7598134947237973E-2</c:v>
                </c:pt>
                <c:pt idx="11">
                  <c:v>1.6795178219607344E-2</c:v>
                </c:pt>
                <c:pt idx="12">
                  <c:v>1.0839915823013503E-2</c:v>
                </c:pt>
                <c:pt idx="13">
                  <c:v>5.8883493359579526E-3</c:v>
                </c:pt>
                <c:pt idx="14">
                  <c:v>6.9589583061321252E-3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E6-4EA2-981E-3FD9DD8969BB}"/>
            </c:ext>
          </c:extLst>
        </c:ser>
        <c:ser>
          <c:idx val="8"/>
          <c:order val="8"/>
          <c:tx>
            <c:strRef>
              <c:f>'Sheet1 (Editted) (2)'!$L$29</c:f>
              <c:strCache>
                <c:ptCount val="1"/>
                <c:pt idx="0">
                  <c:v>2/25/2019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(2)'!$L$30:$L$44</c:f>
              <c:numCache>
                <c:formatCode>General</c:formatCode>
                <c:ptCount val="15"/>
                <c:pt idx="1">
                  <c:v>3.0780007892507479E-2</c:v>
                </c:pt>
                <c:pt idx="2">
                  <c:v>3.7471313956096062E-3</c:v>
                </c:pt>
                <c:pt idx="3">
                  <c:v>9.970046034746988E-3</c:v>
                </c:pt>
                <c:pt idx="4">
                  <c:v>3.8809575168813775E-3</c:v>
                </c:pt>
                <c:pt idx="5">
                  <c:v>1.5390003946253738E-3</c:v>
                </c:pt>
                <c:pt idx="6">
                  <c:v>2.9441746679789763E-3</c:v>
                </c:pt>
                <c:pt idx="7">
                  <c:v>3.9478705775172632E-3</c:v>
                </c:pt>
                <c:pt idx="8">
                  <c:v>6.9589583061321252E-3</c:v>
                </c:pt>
                <c:pt idx="9">
                  <c:v>1.2713481520818306E-2</c:v>
                </c:pt>
                <c:pt idx="10">
                  <c:v>1.5925308431340827E-2</c:v>
                </c:pt>
                <c:pt idx="11">
                  <c:v>1.3181872945269506E-2</c:v>
                </c:pt>
                <c:pt idx="12">
                  <c:v>8.1633933975780709E-3</c:v>
                </c:pt>
                <c:pt idx="13">
                  <c:v>3.2787399711584051E-3</c:v>
                </c:pt>
                <c:pt idx="14">
                  <c:v>4.8177403657837792E-3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E6-4EA2-981E-3FD9DD8969BB}"/>
            </c:ext>
          </c:extLst>
        </c:ser>
        <c:ser>
          <c:idx val="9"/>
          <c:order val="9"/>
          <c:tx>
            <c:strRef>
              <c:f>'Sheet1 (Editted) (2)'!$M$29</c:f>
              <c:strCache>
                <c:ptCount val="1"/>
                <c:pt idx="0">
                  <c:v>3/13/2019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(2)'!$M$30:$M$44</c:f>
              <c:numCache>
                <c:formatCode>General</c:formatCode>
                <c:ptCount val="15"/>
                <c:pt idx="1">
                  <c:v>3.7002922531644861E-2</c:v>
                </c:pt>
                <c:pt idx="2">
                  <c:v>1.2312003157002991E-2</c:v>
                </c:pt>
                <c:pt idx="3">
                  <c:v>1.3382612127177166E-3</c:v>
                </c:pt>
                <c:pt idx="4">
                  <c:v>4.0147836381531493E-3</c:v>
                </c:pt>
                <c:pt idx="5">
                  <c:v>3.6133052743378348E-3</c:v>
                </c:pt>
                <c:pt idx="6">
                  <c:v>6.6913060635885826E-5</c:v>
                </c:pt>
                <c:pt idx="7">
                  <c:v>4.9515664870555514E-3</c:v>
                </c:pt>
                <c:pt idx="8">
                  <c:v>7.3604366699474401E-3</c:v>
                </c:pt>
                <c:pt idx="9">
                  <c:v>1.0438437459198188E-2</c:v>
                </c:pt>
                <c:pt idx="10">
                  <c:v>1.4520134157987225E-2</c:v>
                </c:pt>
                <c:pt idx="11">
                  <c:v>1.3583351309084821E-2</c:v>
                </c:pt>
                <c:pt idx="12">
                  <c:v>8.3641325794857283E-3</c:v>
                </c:pt>
                <c:pt idx="13">
                  <c:v>3.6802183349737201E-3</c:v>
                </c:pt>
                <c:pt idx="14">
                  <c:v>5.3530448508708663E-3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E6-4EA2-981E-3FD9DD8969BB}"/>
            </c:ext>
          </c:extLst>
        </c:ser>
        <c:ser>
          <c:idx val="10"/>
          <c:order val="10"/>
          <c:tx>
            <c:strRef>
              <c:f>'Sheet1 (Editted) (2)'!$N$29</c:f>
              <c:strCache>
                <c:ptCount val="1"/>
                <c:pt idx="0">
                  <c:v>4/1/2019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(2)'!$N$30:$N$44</c:f>
              <c:numCache>
                <c:formatCode>General</c:formatCode>
                <c:ptCount val="15"/>
                <c:pt idx="1">
                  <c:v>3.2988138893491711E-2</c:v>
                </c:pt>
                <c:pt idx="2">
                  <c:v>1.0438437459198188E-2</c:v>
                </c:pt>
                <c:pt idx="3">
                  <c:v>3.5463922137019487E-3</c:v>
                </c:pt>
                <c:pt idx="4">
                  <c:v>8.6986978826651565E-4</c:v>
                </c:pt>
                <c:pt idx="5">
                  <c:v>4.0147836381531493E-4</c:v>
                </c:pt>
                <c:pt idx="6">
                  <c:v>2.2750440616201178E-3</c:v>
                </c:pt>
                <c:pt idx="7">
                  <c:v>3.6802183349737201E-3</c:v>
                </c:pt>
                <c:pt idx="8">
                  <c:v>6.8251321848603547E-3</c:v>
                </c:pt>
                <c:pt idx="9">
                  <c:v>1.2378916217638878E-2</c:v>
                </c:pt>
                <c:pt idx="10">
                  <c:v>1.539000394625374E-2</c:v>
                </c:pt>
                <c:pt idx="11">
                  <c:v>1.4988525582438425E-2</c:v>
                </c:pt>
                <c:pt idx="12">
                  <c:v>9.2340023677522434E-3</c:v>
                </c:pt>
                <c:pt idx="13">
                  <c:v>4.6839142445120078E-3</c:v>
                </c:pt>
                <c:pt idx="14">
                  <c:v>6.7582191242244677E-3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2E6-4EA2-981E-3FD9DD8969BB}"/>
            </c:ext>
          </c:extLst>
        </c:ser>
        <c:ser>
          <c:idx val="11"/>
          <c:order val="11"/>
          <c:tx>
            <c:strRef>
              <c:f>'Sheet1 (Editted) (2)'!$O$29</c:f>
              <c:strCache>
                <c:ptCount val="1"/>
                <c:pt idx="0">
                  <c:v>4/10/2019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(2)'!$O$30:$O$44</c:f>
              <c:numCache>
                <c:formatCode>General</c:formatCode>
                <c:ptCount val="15"/>
                <c:pt idx="1">
                  <c:v>4.1686836776156866E-2</c:v>
                </c:pt>
                <c:pt idx="2">
                  <c:v>1.7129743522786772E-2</c:v>
                </c:pt>
                <c:pt idx="3">
                  <c:v>2.2750440616201178E-3</c:v>
                </c:pt>
                <c:pt idx="4">
                  <c:v>5.620697093414409E-3</c:v>
                </c:pt>
                <c:pt idx="5">
                  <c:v>4.4831750626043504E-3</c:v>
                </c:pt>
                <c:pt idx="6">
                  <c:v>8.0295672763062986E-4</c:v>
                </c:pt>
                <c:pt idx="7">
                  <c:v>5.2861317902349802E-3</c:v>
                </c:pt>
                <c:pt idx="8">
                  <c:v>8.9663501252087007E-3</c:v>
                </c:pt>
                <c:pt idx="9">
                  <c:v>1.2044350914459448E-2</c:v>
                </c:pt>
                <c:pt idx="10">
                  <c:v>1.6192960673884368E-2</c:v>
                </c:pt>
                <c:pt idx="11">
                  <c:v>1.472087333989488E-2</c:v>
                </c:pt>
                <c:pt idx="12">
                  <c:v>9.5685676709316731E-3</c:v>
                </c:pt>
                <c:pt idx="13">
                  <c:v>4.0147836381531493E-3</c:v>
                </c:pt>
                <c:pt idx="14">
                  <c:v>6.8251321848603547E-3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2E6-4EA2-981E-3FD9DD8969BB}"/>
            </c:ext>
          </c:extLst>
        </c:ser>
        <c:ser>
          <c:idx val="12"/>
          <c:order val="12"/>
          <c:tx>
            <c:strRef>
              <c:f>'Sheet1 (Editted) (2)'!$P$29</c:f>
              <c:strCache>
                <c:ptCount val="1"/>
                <c:pt idx="0">
                  <c:v>4/24/2019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xVal>
          <c:yVal>
            <c:numRef>
              <c:f>'Sheet1 (Editted) (2)'!$P$30:$P$44</c:f>
              <c:numCache>
                <c:formatCode>General</c:formatCode>
                <c:ptCount val="15"/>
                <c:pt idx="1">
                  <c:v>4.269053268569515E-2</c:v>
                </c:pt>
                <c:pt idx="2">
                  <c:v>1.6795178219607344E-2</c:v>
                </c:pt>
                <c:pt idx="3">
                  <c:v>1.6059134552612597E-3</c:v>
                </c:pt>
                <c:pt idx="4">
                  <c:v>5.620697093414409E-3</c:v>
                </c:pt>
                <c:pt idx="5">
                  <c:v>5.0853926083273228E-3</c:v>
                </c:pt>
                <c:pt idx="6">
                  <c:v>2.6765224254354332E-3</c:v>
                </c:pt>
                <c:pt idx="7">
                  <c:v>7.6950019731268698E-3</c:v>
                </c:pt>
                <c:pt idx="8">
                  <c:v>9.970046034746988E-3</c:v>
                </c:pt>
                <c:pt idx="9">
                  <c:v>1.2780394581454191E-2</c:v>
                </c:pt>
                <c:pt idx="10">
                  <c:v>1.4921612521802539E-2</c:v>
                </c:pt>
                <c:pt idx="11">
                  <c:v>1.4520134157987225E-2</c:v>
                </c:pt>
                <c:pt idx="12">
                  <c:v>9.5685676709316731E-3</c:v>
                </c:pt>
                <c:pt idx="13">
                  <c:v>5.3530448508708663E-3</c:v>
                </c:pt>
                <c:pt idx="14">
                  <c:v>7.0927844274038974E-3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2E6-4EA2-981E-3FD9DD8969BB}"/>
            </c:ext>
          </c:extLst>
        </c:ser>
        <c:ser>
          <c:idx val="13"/>
          <c:order val="13"/>
          <c:tx>
            <c:strRef>
              <c:f>'Sheet1 (Editted) (2)'!$Q$29</c:f>
              <c:strCache>
                <c:ptCount val="1"/>
                <c:pt idx="0">
                  <c:v>5/15/2019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(2)'!$Q$30:$Q$44</c:f>
              <c:numCache>
                <c:formatCode>General</c:formatCode>
                <c:ptCount val="15"/>
                <c:pt idx="1">
                  <c:v>5.0452447719457907E-2</c:v>
                </c:pt>
                <c:pt idx="2">
                  <c:v>2.2415875313021753E-2</c:v>
                </c:pt>
                <c:pt idx="3">
                  <c:v>5.2192187295990941E-3</c:v>
                </c:pt>
                <c:pt idx="4">
                  <c:v>9.3678284890240156E-3</c:v>
                </c:pt>
                <c:pt idx="5">
                  <c:v>6.5574799423168103E-3</c:v>
                </c:pt>
                <c:pt idx="6">
                  <c:v>2.8103485467072045E-3</c:v>
                </c:pt>
                <c:pt idx="7">
                  <c:v>6.7582191242244677E-3</c:v>
                </c:pt>
                <c:pt idx="8">
                  <c:v>9.5685676709316731E-3</c:v>
                </c:pt>
                <c:pt idx="9">
                  <c:v>1.3181872945269506E-2</c:v>
                </c:pt>
                <c:pt idx="10">
                  <c:v>1.5122351703710195E-2</c:v>
                </c:pt>
                <c:pt idx="11">
                  <c:v>1.458704721862311E-2</c:v>
                </c:pt>
                <c:pt idx="12">
                  <c:v>1.0170785216654646E-2</c:v>
                </c:pt>
                <c:pt idx="13">
                  <c:v>4.6839142445120078E-3</c:v>
                </c:pt>
                <c:pt idx="14">
                  <c:v>6.490566881680925E-3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2E6-4EA2-981E-3FD9DD8969BB}"/>
            </c:ext>
          </c:extLst>
        </c:ser>
        <c:ser>
          <c:idx val="14"/>
          <c:order val="14"/>
          <c:tx>
            <c:strRef>
              <c:f>'Sheet1 (Editted) (2)'!$R$29</c:f>
              <c:strCache>
                <c:ptCount val="1"/>
                <c:pt idx="0">
                  <c:v>5/29/2019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(2)'!$R$30:$R$44</c:f>
              <c:numCache>
                <c:formatCode>General</c:formatCode>
                <c:ptCount val="15"/>
                <c:pt idx="1">
                  <c:v>5.0653186901365568E-2</c:v>
                </c:pt>
                <c:pt idx="2">
                  <c:v>2.5694615284180156E-2</c:v>
                </c:pt>
                <c:pt idx="3">
                  <c:v>9.9031329741111028E-3</c:v>
                </c:pt>
                <c:pt idx="4">
                  <c:v>1.2914220702725965E-2</c:v>
                </c:pt>
                <c:pt idx="5">
                  <c:v>1.0438437459198188E-2</c:v>
                </c:pt>
                <c:pt idx="6">
                  <c:v>5.3530448508708663E-3</c:v>
                </c:pt>
                <c:pt idx="7">
                  <c:v>8.3641325794857283E-3</c:v>
                </c:pt>
                <c:pt idx="8">
                  <c:v>9.7693068528393306E-3</c:v>
                </c:pt>
                <c:pt idx="9">
                  <c:v>1.5122351703710195E-2</c:v>
                </c:pt>
                <c:pt idx="10">
                  <c:v>1.7932700250417401E-2</c:v>
                </c:pt>
                <c:pt idx="11">
                  <c:v>1.6995917401514998E-2</c:v>
                </c:pt>
                <c:pt idx="12">
                  <c:v>1.170978561128002E-2</c:v>
                </c:pt>
                <c:pt idx="13">
                  <c:v>5.8883493359579526E-3</c:v>
                </c:pt>
                <c:pt idx="14">
                  <c:v>6.1560015785014953E-3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2E6-4EA2-981E-3FD9DD8969BB}"/>
            </c:ext>
          </c:extLst>
        </c:ser>
        <c:ser>
          <c:idx val="15"/>
          <c:order val="15"/>
          <c:tx>
            <c:strRef>
              <c:f>'Sheet1 (Editted) (2)'!$S$29</c:f>
              <c:strCache>
                <c:ptCount val="1"/>
                <c:pt idx="0">
                  <c:v>6/12/2019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(2)'!$S$30:$S$44</c:f>
              <c:numCache>
                <c:formatCode>General</c:formatCode>
                <c:ptCount val="15"/>
                <c:pt idx="1">
                  <c:v>5.426649217570341E-2</c:v>
                </c:pt>
                <c:pt idx="2">
                  <c:v>3.011087728614862E-2</c:v>
                </c:pt>
                <c:pt idx="3">
                  <c:v>1.4453221097351339E-2</c:v>
                </c:pt>
                <c:pt idx="4">
                  <c:v>1.7731961068509744E-2</c:v>
                </c:pt>
                <c:pt idx="5">
                  <c:v>1.411865579417191E-2</c:v>
                </c:pt>
                <c:pt idx="6">
                  <c:v>8.7656109433010432E-3</c:v>
                </c:pt>
                <c:pt idx="7">
                  <c:v>1.2111263975095335E-2</c:v>
                </c:pt>
                <c:pt idx="8">
                  <c:v>1.2713481520818306E-2</c:v>
                </c:pt>
                <c:pt idx="9">
                  <c:v>1.552383006752551E-2</c:v>
                </c:pt>
                <c:pt idx="10">
                  <c:v>1.8401091674868603E-2</c:v>
                </c:pt>
                <c:pt idx="11">
                  <c:v>1.8468004735504487E-2</c:v>
                </c:pt>
                <c:pt idx="12">
                  <c:v>1.2780394581454191E-2</c:v>
                </c:pt>
                <c:pt idx="13">
                  <c:v>6.3567407604091528E-3</c:v>
                </c:pt>
                <c:pt idx="14">
                  <c:v>7.2935236093115549E-3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2E6-4EA2-981E-3FD9DD8969BB}"/>
            </c:ext>
          </c:extLst>
        </c:ser>
        <c:ser>
          <c:idx val="16"/>
          <c:order val="16"/>
          <c:tx>
            <c:strRef>
              <c:f>'Sheet1 (Editted) (2)'!$T$29</c:f>
              <c:strCache>
                <c:ptCount val="1"/>
                <c:pt idx="0">
                  <c:v>7/8/2019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(2)'!$T$30:$T$44</c:f>
              <c:numCache>
                <c:formatCode>General</c:formatCode>
                <c:ptCount val="15"/>
                <c:pt idx="1">
                  <c:v>5.8883493359579521E-2</c:v>
                </c:pt>
                <c:pt idx="2">
                  <c:v>4.3092011049510472E-2</c:v>
                </c:pt>
                <c:pt idx="3">
                  <c:v>2.6832137314990213E-2</c:v>
                </c:pt>
                <c:pt idx="4">
                  <c:v>2.8772616073430901E-2</c:v>
                </c:pt>
                <c:pt idx="5">
                  <c:v>2.4155614889554783E-2</c:v>
                </c:pt>
                <c:pt idx="6">
                  <c:v>1.6460612916427912E-2</c:v>
                </c:pt>
                <c:pt idx="7">
                  <c:v>1.7598134947237973E-2</c:v>
                </c:pt>
                <c:pt idx="8">
                  <c:v>1.9003309220591576E-2</c:v>
                </c:pt>
                <c:pt idx="9">
                  <c:v>1.920404840249923E-2</c:v>
                </c:pt>
                <c:pt idx="10">
                  <c:v>2.014083125140163E-2</c:v>
                </c:pt>
                <c:pt idx="11">
                  <c:v>1.9337874523771004E-2</c:v>
                </c:pt>
                <c:pt idx="12">
                  <c:v>1.3181872945269506E-2</c:v>
                </c:pt>
                <c:pt idx="13">
                  <c:v>6.7582191242244677E-3</c:v>
                </c:pt>
                <c:pt idx="14">
                  <c:v>8.3641325794857283E-3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2E6-4EA2-981E-3FD9DD8969BB}"/>
            </c:ext>
          </c:extLst>
        </c:ser>
        <c:ser>
          <c:idx val="17"/>
          <c:order val="17"/>
          <c:tx>
            <c:strRef>
              <c:f>'Sheet1 (Editted) (2)'!$U$29</c:f>
              <c:strCache>
                <c:ptCount val="1"/>
                <c:pt idx="0">
                  <c:v>7/24/2019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(2)'!$U$30:$U$44</c:f>
              <c:numCache>
                <c:formatCode>General</c:formatCode>
                <c:ptCount val="15"/>
                <c:pt idx="1">
                  <c:v>6.7180712878429374E-2</c:v>
                </c:pt>
                <c:pt idx="2">
                  <c:v>3.5196269894475947E-2</c:v>
                </c:pt>
                <c:pt idx="3">
                  <c:v>1.9337874523771004E-2</c:v>
                </c:pt>
                <c:pt idx="4">
                  <c:v>2.0542309615216948E-2</c:v>
                </c:pt>
                <c:pt idx="5">
                  <c:v>1.5724569249433169E-2</c:v>
                </c:pt>
                <c:pt idx="6">
                  <c:v>8.9663501252087007E-3</c:v>
                </c:pt>
                <c:pt idx="7">
                  <c:v>1.251274233891065E-2</c:v>
                </c:pt>
                <c:pt idx="8">
                  <c:v>1.331569906654128E-2</c:v>
                </c:pt>
                <c:pt idx="9">
                  <c:v>1.539000394625374E-2</c:v>
                </c:pt>
                <c:pt idx="10">
                  <c:v>1.7531221886602086E-2</c:v>
                </c:pt>
                <c:pt idx="11">
                  <c:v>1.6460612916427912E-2</c:v>
                </c:pt>
                <c:pt idx="12">
                  <c:v>1.0371524398562303E-2</c:v>
                </c:pt>
                <c:pt idx="13">
                  <c:v>4.4162620019684642E-3</c:v>
                </c:pt>
                <c:pt idx="14">
                  <c:v>5.7545232146861813E-3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2E6-4EA2-981E-3FD9DD8969BB}"/>
            </c:ext>
          </c:extLst>
        </c:ser>
        <c:ser>
          <c:idx val="18"/>
          <c:order val="18"/>
          <c:tx>
            <c:strRef>
              <c:f>'Sheet1 (Editted) (2)'!$V$29</c:f>
              <c:strCache>
                <c:ptCount val="1"/>
                <c:pt idx="0">
                  <c:v>8/16/2019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(2)'!$V$30:$V$44</c:f>
              <c:numCache>
                <c:formatCode>General</c:formatCode>
                <c:ptCount val="15"/>
                <c:pt idx="1">
                  <c:v>6.9388843879413603E-2</c:v>
                </c:pt>
                <c:pt idx="2">
                  <c:v>4.4631011444135844E-2</c:v>
                </c:pt>
                <c:pt idx="3">
                  <c:v>2.8906442194702679E-2</c:v>
                </c:pt>
                <c:pt idx="4">
                  <c:v>3.0646181771235709E-2</c:v>
                </c:pt>
                <c:pt idx="5">
                  <c:v>2.6096093647995471E-2</c:v>
                </c:pt>
                <c:pt idx="6">
                  <c:v>1.9806265948222206E-2</c:v>
                </c:pt>
                <c:pt idx="7">
                  <c:v>2.1813657767298777E-2</c:v>
                </c:pt>
                <c:pt idx="8">
                  <c:v>2.1412179403483465E-2</c:v>
                </c:pt>
                <c:pt idx="9">
                  <c:v>2.1211440221575804E-2</c:v>
                </c:pt>
                <c:pt idx="10">
                  <c:v>2.0943787979032263E-2</c:v>
                </c:pt>
                <c:pt idx="11">
                  <c:v>1.9605526766314545E-2</c:v>
                </c:pt>
                <c:pt idx="12">
                  <c:v>1.4051742733536024E-2</c:v>
                </c:pt>
                <c:pt idx="13">
                  <c:v>6.4236538210450389E-3</c:v>
                </c:pt>
                <c:pt idx="14">
                  <c:v>6.8251321848603547E-3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2E6-4EA2-981E-3FD9DD8969BB}"/>
            </c:ext>
          </c:extLst>
        </c:ser>
        <c:ser>
          <c:idx val="19"/>
          <c:order val="19"/>
          <c:tx>
            <c:strRef>
              <c:f>'Sheet1 (Editted) (2)'!$W$29</c:f>
              <c:strCache>
                <c:ptCount val="1"/>
                <c:pt idx="0">
                  <c:v>8/30/2019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(2)'!$W$30:$W$44</c:f>
              <c:numCache>
                <c:formatCode>General</c:formatCode>
                <c:ptCount val="15"/>
                <c:pt idx="1">
                  <c:v>7.5544845457915094E-2</c:v>
                </c:pt>
                <c:pt idx="2">
                  <c:v>4.2489793503787496E-2</c:v>
                </c:pt>
                <c:pt idx="3">
                  <c:v>2.4155614889554783E-2</c:v>
                </c:pt>
                <c:pt idx="4">
                  <c:v>2.6832137314990213E-2</c:v>
                </c:pt>
                <c:pt idx="5">
                  <c:v>2.3218832040652383E-2</c:v>
                </c:pt>
                <c:pt idx="6">
                  <c:v>1.8200352492960942E-2</c:v>
                </c:pt>
                <c:pt idx="7">
                  <c:v>2.1144527160939921E-2</c:v>
                </c:pt>
                <c:pt idx="8">
                  <c:v>2.1211440221575804E-2</c:v>
                </c:pt>
                <c:pt idx="9">
                  <c:v>2.1746744706662893E-2</c:v>
                </c:pt>
                <c:pt idx="10">
                  <c:v>2.2014396949206434E-2</c:v>
                </c:pt>
                <c:pt idx="11">
                  <c:v>1.9404787584406891E-2</c:v>
                </c:pt>
                <c:pt idx="12">
                  <c:v>1.2914220702725965E-2</c:v>
                </c:pt>
                <c:pt idx="13">
                  <c:v>6.490566881680925E-3</c:v>
                </c:pt>
                <c:pt idx="14">
                  <c:v>6.8251321848603547E-3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2E6-4EA2-981E-3FD9DD8969BB}"/>
            </c:ext>
          </c:extLst>
        </c:ser>
        <c:ser>
          <c:idx val="20"/>
          <c:order val="20"/>
          <c:tx>
            <c:strRef>
              <c:f>'Sheet1 (Editted) (2)'!$X$29</c:f>
              <c:strCache>
                <c:ptCount val="1"/>
                <c:pt idx="0">
                  <c:v>9/25/2019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(2)'!$X$31:$X$44</c:f>
              <c:numCache>
                <c:formatCode>General</c:formatCode>
                <c:ptCount val="14"/>
                <c:pt idx="0">
                  <c:v>5.4667970539518718E-2</c:v>
                </c:pt>
                <c:pt idx="1">
                  <c:v>4.3225837170782246E-2</c:v>
                </c:pt>
                <c:pt idx="2">
                  <c:v>2.6363745890539012E-2</c:v>
                </c:pt>
                <c:pt idx="3">
                  <c:v>3.0378529528692164E-2</c:v>
                </c:pt>
                <c:pt idx="4">
                  <c:v>2.5761528344816043E-2</c:v>
                </c:pt>
                <c:pt idx="5">
                  <c:v>1.8601830856776257E-2</c:v>
                </c:pt>
                <c:pt idx="6">
                  <c:v>1.8936396159955689E-2</c:v>
                </c:pt>
                <c:pt idx="7">
                  <c:v>1.8936396159955689E-2</c:v>
                </c:pt>
                <c:pt idx="8">
                  <c:v>1.9672439826950432E-2</c:v>
                </c:pt>
                <c:pt idx="9">
                  <c:v>2.0743048797124606E-2</c:v>
                </c:pt>
                <c:pt idx="10">
                  <c:v>2.0876874918396376E-2</c:v>
                </c:pt>
                <c:pt idx="11">
                  <c:v>1.4921612521802539E-2</c:v>
                </c:pt>
                <c:pt idx="12">
                  <c:v>7.6280889124909846E-3</c:v>
                </c:pt>
                <c:pt idx="13">
                  <c:v>7.3604366699474401E-3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53-415D-825E-9189BF9F078C}"/>
            </c:ext>
          </c:extLst>
        </c:ser>
        <c:ser>
          <c:idx val="21"/>
          <c:order val="21"/>
          <c:tx>
            <c:strRef>
              <c:f>'Sheet1 (Editted) (2)'!$Y$29</c:f>
              <c:strCache>
                <c:ptCount val="1"/>
                <c:pt idx="0">
                  <c:v>10/10/2019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(2)'!$Y$31:$Y$44</c:f>
              <c:numCache>
                <c:formatCode>General</c:formatCode>
                <c:ptCount val="14"/>
                <c:pt idx="0">
                  <c:v>4.4028793898412869E-2</c:v>
                </c:pt>
                <c:pt idx="1">
                  <c:v>4.5367055111130587E-2</c:v>
                </c:pt>
                <c:pt idx="2">
                  <c:v>2.9642485861697418E-2</c:v>
                </c:pt>
                <c:pt idx="3">
                  <c:v>3.1582964620138106E-2</c:v>
                </c:pt>
                <c:pt idx="4">
                  <c:v>2.7032876496897871E-2</c:v>
                </c:pt>
                <c:pt idx="5">
                  <c:v>2.1144527160939921E-2</c:v>
                </c:pt>
                <c:pt idx="6">
                  <c:v>2.3352658161924153E-2</c:v>
                </c:pt>
                <c:pt idx="7">
                  <c:v>2.3620310404467694E-2</c:v>
                </c:pt>
                <c:pt idx="8">
                  <c:v>2.422252795019067E-2</c:v>
                </c:pt>
                <c:pt idx="9">
                  <c:v>2.4958571617185413E-2</c:v>
                </c:pt>
                <c:pt idx="10">
                  <c:v>2.2215136131114095E-2</c:v>
                </c:pt>
                <c:pt idx="11">
                  <c:v>1.411865579417191E-2</c:v>
                </c:pt>
                <c:pt idx="12">
                  <c:v>6.5574799423168103E-3</c:v>
                </c:pt>
                <c:pt idx="13">
                  <c:v>6.8920452454962399E-3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53-415D-825E-9189BF9F078C}"/>
            </c:ext>
          </c:extLst>
        </c:ser>
        <c:ser>
          <c:idx val="22"/>
          <c:order val="22"/>
          <c:tx>
            <c:strRef>
              <c:f>'Sheet1 (Editted) (2)'!$Z$29</c:f>
              <c:strCache>
                <c:ptCount val="1"/>
                <c:pt idx="0">
                  <c:v>11/1/2019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(2)'!$Z$31:$Z$44</c:f>
              <c:numCache>
                <c:formatCode>General</c:formatCode>
                <c:ptCount val="14"/>
                <c:pt idx="0">
                  <c:v>6.8385147969875312E-2</c:v>
                </c:pt>
                <c:pt idx="1">
                  <c:v>3.9344879653900863E-2</c:v>
                </c:pt>
                <c:pt idx="2">
                  <c:v>2.3754136525739464E-2</c:v>
                </c:pt>
                <c:pt idx="3">
                  <c:v>2.5627702223544272E-2</c:v>
                </c:pt>
                <c:pt idx="4">
                  <c:v>2.0943787979032263E-2</c:v>
                </c:pt>
                <c:pt idx="5">
                  <c:v>1.5791482310069053E-2</c:v>
                </c:pt>
                <c:pt idx="6">
                  <c:v>1.8936396159955689E-2</c:v>
                </c:pt>
                <c:pt idx="7">
                  <c:v>1.8735656978048031E-2</c:v>
                </c:pt>
                <c:pt idx="8">
                  <c:v>1.8601830856776257E-2</c:v>
                </c:pt>
                <c:pt idx="9">
                  <c:v>2.0542309615216948E-2</c:v>
                </c:pt>
                <c:pt idx="10">
                  <c:v>1.9806265948222206E-2</c:v>
                </c:pt>
                <c:pt idx="11">
                  <c:v>1.2713481520818306E-2</c:v>
                </c:pt>
                <c:pt idx="12">
                  <c:v>5.6876101540502952E-3</c:v>
                </c:pt>
                <c:pt idx="13">
                  <c:v>6.8920452454962399E-3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53-415D-825E-9189BF9F078C}"/>
            </c:ext>
          </c:extLst>
        </c:ser>
        <c:ser>
          <c:idx val="23"/>
          <c:order val="23"/>
          <c:tx>
            <c:strRef>
              <c:f>'Sheet1 (Editted) (2)'!$AA$29</c:f>
              <c:strCache>
                <c:ptCount val="1"/>
                <c:pt idx="0">
                  <c:v>11/21/2019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(2)'!$AA$31:$AA$44</c:f>
              <c:numCache>
                <c:formatCode>General</c:formatCode>
                <c:ptCount val="14"/>
                <c:pt idx="0">
                  <c:v>7.380510588138206E-2</c:v>
                </c:pt>
                <c:pt idx="1">
                  <c:v>3.8274270683726692E-2</c:v>
                </c:pt>
                <c:pt idx="2">
                  <c:v>2.355339734383181E-2</c:v>
                </c:pt>
                <c:pt idx="3">
                  <c:v>2.4824745495913642E-2</c:v>
                </c:pt>
                <c:pt idx="4">
                  <c:v>2.1412179403483465E-2</c:v>
                </c:pt>
                <c:pt idx="5">
                  <c:v>1.7397395765330313E-2</c:v>
                </c:pt>
                <c:pt idx="6">
                  <c:v>2.1679831646027006E-2</c:v>
                </c:pt>
                <c:pt idx="7">
                  <c:v>2.2081310009842321E-2</c:v>
                </c:pt>
                <c:pt idx="8">
                  <c:v>2.1947483888570551E-2</c:v>
                </c:pt>
                <c:pt idx="9">
                  <c:v>2.2549701434293523E-2</c:v>
                </c:pt>
                <c:pt idx="10">
                  <c:v>2.0609222675852835E-2</c:v>
                </c:pt>
                <c:pt idx="11">
                  <c:v>1.2044350914459448E-2</c:v>
                </c:pt>
                <c:pt idx="12">
                  <c:v>4.5500881232402356E-3</c:v>
                </c:pt>
                <c:pt idx="13">
                  <c:v>7.0927844274038974E-3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7C-4A5A-84C8-41EFA947C9C4}"/>
            </c:ext>
          </c:extLst>
        </c:ser>
        <c:ser>
          <c:idx val="24"/>
          <c:order val="24"/>
          <c:tx>
            <c:strRef>
              <c:f>'Sheet1 (Editted) (2)'!$AB$29</c:f>
              <c:strCache>
                <c:ptCount val="1"/>
                <c:pt idx="0">
                  <c:v>12/7/2019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(2)'!$AB$31:$AB$44</c:f>
              <c:numCache>
                <c:formatCode>General</c:formatCode>
                <c:ptCount val="14"/>
                <c:pt idx="0">
                  <c:v>9.287532816260953E-2</c:v>
                </c:pt>
                <c:pt idx="1">
                  <c:v>5.1656882810903859E-2</c:v>
                </c:pt>
                <c:pt idx="2">
                  <c:v>3.5999226622106577E-2</c:v>
                </c:pt>
                <c:pt idx="3">
                  <c:v>3.6199965804014231E-2</c:v>
                </c:pt>
                <c:pt idx="4">
                  <c:v>3.0846920953143366E-2</c:v>
                </c:pt>
                <c:pt idx="5">
                  <c:v>2.3018092858744725E-2</c:v>
                </c:pt>
                <c:pt idx="6">
                  <c:v>2.4021788768283012E-2</c:v>
                </c:pt>
                <c:pt idx="7">
                  <c:v>2.3954875707647125E-2</c:v>
                </c:pt>
                <c:pt idx="8">
                  <c:v>2.3285745101288266E-2</c:v>
                </c:pt>
                <c:pt idx="9">
                  <c:v>2.4490180192734211E-2</c:v>
                </c:pt>
                <c:pt idx="10">
                  <c:v>2.4423267132098324E-2</c:v>
                </c:pt>
                <c:pt idx="11">
                  <c:v>1.6126047613248484E-2</c:v>
                </c:pt>
                <c:pt idx="12">
                  <c:v>7.9626542156704134E-3</c:v>
                </c:pt>
                <c:pt idx="13">
                  <c:v>8.8325240039369285E-3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7C-4A5A-84C8-41EFA947C9C4}"/>
            </c:ext>
          </c:extLst>
        </c:ser>
        <c:ser>
          <c:idx val="25"/>
          <c:order val="25"/>
          <c:tx>
            <c:strRef>
              <c:f>'Sheet1 (Editted) (2)'!$AC$29</c:f>
              <c:strCache>
                <c:ptCount val="1"/>
                <c:pt idx="0">
                  <c:v>12/18/2019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(2)'!$AC$31:$AC$44</c:f>
              <c:numCache>
                <c:formatCode>General</c:formatCode>
                <c:ptCount val="14"/>
                <c:pt idx="0">
                  <c:v>9.3611371829604259E-2</c:v>
                </c:pt>
                <c:pt idx="1">
                  <c:v>5.0987752204545003E-2</c:v>
                </c:pt>
                <c:pt idx="2">
                  <c:v>3.5865400500834803E-2</c:v>
                </c:pt>
                <c:pt idx="3">
                  <c:v>3.7672053138003724E-2</c:v>
                </c:pt>
                <c:pt idx="4">
                  <c:v>3.1984442983953427E-2</c:v>
                </c:pt>
                <c:pt idx="5">
                  <c:v>2.5226223859728954E-2</c:v>
                </c:pt>
                <c:pt idx="6">
                  <c:v>2.5426963041636611E-2</c:v>
                </c:pt>
                <c:pt idx="7">
                  <c:v>2.4757832435277755E-2</c:v>
                </c:pt>
                <c:pt idx="8">
                  <c:v>2.4891658556549526E-2</c:v>
                </c:pt>
                <c:pt idx="9">
                  <c:v>2.5694615284180156E-2</c:v>
                </c:pt>
                <c:pt idx="10">
                  <c:v>2.6029180587359584E-2</c:v>
                </c:pt>
                <c:pt idx="11">
                  <c:v>1.7731961068509744E-2</c:v>
                </c:pt>
                <c:pt idx="12">
                  <c:v>8.4310456401216136E-3</c:v>
                </c:pt>
                <c:pt idx="13">
                  <c:v>9.9031329741111028E-3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B-4EFF-A43A-03C298312F7C}"/>
            </c:ext>
          </c:extLst>
        </c:ser>
        <c:ser>
          <c:idx val="26"/>
          <c:order val="26"/>
          <c:tx>
            <c:strRef>
              <c:f>'Sheet1 (Editted) (2)'!$AD$29</c:f>
              <c:strCache>
                <c:ptCount val="1"/>
                <c:pt idx="0">
                  <c:v>1/9/2020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(2)'!$AD$31:$AD$44</c:f>
              <c:numCache>
                <c:formatCode>General</c:formatCode>
                <c:ptCount val="14"/>
                <c:pt idx="0">
                  <c:v>9.1470153889255917E-2</c:v>
                </c:pt>
                <c:pt idx="1">
                  <c:v>4.8244316718473679E-2</c:v>
                </c:pt>
                <c:pt idx="2">
                  <c:v>3.2988138893491711E-2</c:v>
                </c:pt>
                <c:pt idx="3">
                  <c:v>3.6199965804014231E-2</c:v>
                </c:pt>
                <c:pt idx="4">
                  <c:v>3.2385921347768735E-2</c:v>
                </c:pt>
                <c:pt idx="5">
                  <c:v>2.5627702223544272E-2</c:v>
                </c:pt>
                <c:pt idx="6">
                  <c:v>2.5360049981000728E-2</c:v>
                </c:pt>
                <c:pt idx="7">
                  <c:v>2.50254846778213E-2</c:v>
                </c:pt>
                <c:pt idx="8">
                  <c:v>2.6029180587359584E-2</c:v>
                </c:pt>
                <c:pt idx="9">
                  <c:v>2.7166702618169641E-2</c:v>
                </c:pt>
                <c:pt idx="10">
                  <c:v>2.8036572406436162E-2</c:v>
                </c:pt>
                <c:pt idx="11">
                  <c:v>1.9404787584406891E-2</c:v>
                </c:pt>
                <c:pt idx="12">
                  <c:v>8.7656109433010432E-3</c:v>
                </c:pt>
                <c:pt idx="13">
                  <c:v>9.2340023677522434E-3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B-4EFF-A43A-03C298312F7C}"/>
            </c:ext>
          </c:extLst>
        </c:ser>
        <c:ser>
          <c:idx val="27"/>
          <c:order val="27"/>
          <c:tx>
            <c:strRef>
              <c:f>'Sheet1 (Editted) (2)'!$AE$29</c:f>
              <c:strCache>
                <c:ptCount val="1"/>
                <c:pt idx="0">
                  <c:v>2/8/2020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(2)'!$AE$31:$AE$44</c:f>
              <c:numCache>
                <c:formatCode>General</c:formatCode>
                <c:ptCount val="14"/>
                <c:pt idx="0">
                  <c:v>0.10732854925996085</c:v>
                </c:pt>
                <c:pt idx="1">
                  <c:v>6.1359276603107304E-2</c:v>
                </c:pt>
                <c:pt idx="2">
                  <c:v>4.4028793898412869E-2</c:v>
                </c:pt>
                <c:pt idx="3">
                  <c:v>4.2422880443151609E-2</c:v>
                </c:pt>
                <c:pt idx="4">
                  <c:v>3.5330096015747714E-2</c:v>
                </c:pt>
                <c:pt idx="5">
                  <c:v>2.4757832435277755E-2</c:v>
                </c:pt>
                <c:pt idx="6">
                  <c:v>2.3687223465103581E-2</c:v>
                </c:pt>
                <c:pt idx="7">
                  <c:v>2.3218832040652383E-2</c:v>
                </c:pt>
                <c:pt idx="8">
                  <c:v>2.3620310404467694E-2</c:v>
                </c:pt>
                <c:pt idx="9">
                  <c:v>2.5360049981000728E-2</c:v>
                </c:pt>
                <c:pt idx="10">
                  <c:v>2.8103485467072049E-2</c:v>
                </c:pt>
                <c:pt idx="11">
                  <c:v>1.9137135341863346E-2</c:v>
                </c:pt>
                <c:pt idx="12">
                  <c:v>9.3009154283881287E-3</c:v>
                </c:pt>
                <c:pt idx="13">
                  <c:v>1.0906828883649388E-2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2B-4EFF-A43A-03C298312F7C}"/>
            </c:ext>
          </c:extLst>
        </c:ser>
        <c:ser>
          <c:idx val="28"/>
          <c:order val="28"/>
          <c:tx>
            <c:strRef>
              <c:f>'Sheet1 (Editted) (2)'!$AF$29</c:f>
              <c:strCache>
                <c:ptCount val="1"/>
                <c:pt idx="0">
                  <c:v>3/12/2020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(2)'!$AF$31:$AF$44</c:f>
              <c:numCache>
                <c:formatCode>General</c:formatCode>
                <c:ptCount val="14"/>
                <c:pt idx="0">
                  <c:v>0.11683020387025665</c:v>
                </c:pt>
                <c:pt idx="1">
                  <c:v>7.0660192031495428E-2</c:v>
                </c:pt>
                <c:pt idx="2">
                  <c:v>5.2259100356626828E-2</c:v>
                </c:pt>
                <c:pt idx="3">
                  <c:v>5.1790708932175626E-2</c:v>
                </c:pt>
                <c:pt idx="4">
                  <c:v>4.255670656442339E-2</c:v>
                </c:pt>
                <c:pt idx="5">
                  <c:v>2.8170398527707932E-2</c:v>
                </c:pt>
                <c:pt idx="6">
                  <c:v>2.4423267132098324E-2</c:v>
                </c:pt>
                <c:pt idx="7">
                  <c:v>2.3352658161924153E-2</c:v>
                </c:pt>
                <c:pt idx="8">
                  <c:v>2.2482788373657636E-2</c:v>
                </c:pt>
                <c:pt idx="9">
                  <c:v>2.3218832040652383E-2</c:v>
                </c:pt>
                <c:pt idx="10">
                  <c:v>2.8638789952159131E-2</c:v>
                </c:pt>
                <c:pt idx="11">
                  <c:v>2.1947483888570551E-2</c:v>
                </c:pt>
                <c:pt idx="12">
                  <c:v>1.1910524793187676E-2</c:v>
                </c:pt>
                <c:pt idx="13">
                  <c:v>1.1977437853823563E-2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31-46F9-8701-02A8BE7E31E1}"/>
            </c:ext>
          </c:extLst>
        </c:ser>
        <c:ser>
          <c:idx val="29"/>
          <c:order val="29"/>
          <c:tx>
            <c:strRef>
              <c:f>'Sheet1 (Editted) (2)'!$AG$29</c:f>
              <c:strCache>
                <c:ptCount val="1"/>
                <c:pt idx="0">
                  <c:v>4/3/2020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(2)'!$AG$31:$AG$44</c:f>
              <c:numCache>
                <c:formatCode>General</c:formatCode>
                <c:ptCount val="14"/>
                <c:pt idx="0">
                  <c:v>0.11415368144482121</c:v>
                </c:pt>
                <c:pt idx="1">
                  <c:v>6.5909364726347536E-2</c:v>
                </c:pt>
                <c:pt idx="2">
                  <c:v>4.6504577141940652E-2</c:v>
                </c:pt>
                <c:pt idx="3">
                  <c:v>4.53001420504947E-2</c:v>
                </c:pt>
                <c:pt idx="4">
                  <c:v>3.6467618046557772E-2</c:v>
                </c:pt>
                <c:pt idx="5">
                  <c:v>2.2750440616201181E-2</c:v>
                </c:pt>
                <c:pt idx="6">
                  <c:v>1.9137135341863346E-2</c:v>
                </c:pt>
                <c:pt idx="7">
                  <c:v>1.8601830856776257E-2</c:v>
                </c:pt>
                <c:pt idx="8">
                  <c:v>1.8401091674868603E-2</c:v>
                </c:pt>
                <c:pt idx="9">
                  <c:v>2.0542309615216948E-2</c:v>
                </c:pt>
                <c:pt idx="10">
                  <c:v>2.6965963436261987E-2</c:v>
                </c:pt>
                <c:pt idx="11">
                  <c:v>2.0073918190765747E-2</c:v>
                </c:pt>
                <c:pt idx="12">
                  <c:v>1.1107568065557048E-2</c:v>
                </c:pt>
                <c:pt idx="13">
                  <c:v>1.1910524793187676E-2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31-46F9-8701-02A8BE7E31E1}"/>
            </c:ext>
          </c:extLst>
        </c:ser>
        <c:ser>
          <c:idx val="30"/>
          <c:order val="30"/>
          <c:tx>
            <c:strRef>
              <c:f>'Sheet1 (Editted) (2)'!$AH$29</c:f>
              <c:strCache>
                <c:ptCount val="1"/>
                <c:pt idx="0">
                  <c:v>5/2/2020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(2)'!$AH$31:$AH$44</c:f>
              <c:numCache>
                <c:formatCode>General</c:formatCode>
                <c:ptCount val="14"/>
                <c:pt idx="0">
                  <c:v>0.13282242536223338</c:v>
                </c:pt>
                <c:pt idx="1">
                  <c:v>8.2303064582139568E-2</c:v>
                </c:pt>
                <c:pt idx="2">
                  <c:v>6.1693841906286732E-2</c:v>
                </c:pt>
                <c:pt idx="3">
                  <c:v>5.8348188874492439E-2</c:v>
                </c:pt>
                <c:pt idx="4">
                  <c:v>4.7842838354658357E-2</c:v>
                </c:pt>
                <c:pt idx="5">
                  <c:v>3.1382225438230452E-2</c:v>
                </c:pt>
                <c:pt idx="6">
                  <c:v>2.6430658951174902E-2</c:v>
                </c:pt>
                <c:pt idx="7">
                  <c:v>2.4423267132098324E-2</c:v>
                </c:pt>
                <c:pt idx="8">
                  <c:v>2.3954875707647125E-2</c:v>
                </c:pt>
                <c:pt idx="9">
                  <c:v>2.4824745495913642E-2</c:v>
                </c:pt>
                <c:pt idx="10">
                  <c:v>3.1783703802045767E-2</c:v>
                </c:pt>
                <c:pt idx="11">
                  <c:v>2.4958571617185413E-2</c:v>
                </c:pt>
                <c:pt idx="12">
                  <c:v>1.3650264369720709E-2</c:v>
                </c:pt>
                <c:pt idx="13">
                  <c:v>1.3984829672900136E-2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71-4B07-AD6D-CB5C82FFED8E}"/>
            </c:ext>
          </c:extLst>
        </c:ser>
        <c:ser>
          <c:idx val="31"/>
          <c:order val="31"/>
          <c:tx>
            <c:strRef>
              <c:f>'Sheet1 (Editted) (2)'!$AI$29</c:f>
              <c:strCache>
                <c:ptCount val="1"/>
                <c:pt idx="0">
                  <c:v>5/31/2020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(2)'!$AI$31:$AI$44</c:f>
              <c:numCache>
                <c:formatCode>General</c:formatCode>
                <c:ptCount val="14"/>
                <c:pt idx="0">
                  <c:v>0.12954368539107494</c:v>
                </c:pt>
                <c:pt idx="1">
                  <c:v>9.4414328557234903E-2</c:v>
                </c:pt>
                <c:pt idx="2">
                  <c:v>7.5344106276007447E-2</c:v>
                </c:pt>
                <c:pt idx="3">
                  <c:v>7.0526365910223654E-2</c:v>
                </c:pt>
                <c:pt idx="4">
                  <c:v>5.7812884389405357E-2</c:v>
                </c:pt>
                <c:pt idx="5">
                  <c:v>3.9813271078352065E-2</c:v>
                </c:pt>
                <c:pt idx="6">
                  <c:v>3.2854312772219937E-2</c:v>
                </c:pt>
                <c:pt idx="7">
                  <c:v>2.9776311982969188E-2</c:v>
                </c:pt>
                <c:pt idx="8">
                  <c:v>2.6564485072446672E-2</c:v>
                </c:pt>
                <c:pt idx="9">
                  <c:v>2.6363745890539012E-2</c:v>
                </c:pt>
                <c:pt idx="10">
                  <c:v>3.4460226227481197E-2</c:v>
                </c:pt>
                <c:pt idx="11">
                  <c:v>2.7835833224528501E-2</c:v>
                </c:pt>
                <c:pt idx="12">
                  <c:v>1.6527525977063799E-2</c:v>
                </c:pt>
                <c:pt idx="13">
                  <c:v>1.4520134157987225E-2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71-4B07-AD6D-CB5C82FFED8E}"/>
            </c:ext>
          </c:extLst>
        </c:ser>
        <c:ser>
          <c:idx val="32"/>
          <c:order val="32"/>
          <c:tx>
            <c:strRef>
              <c:f>'Sheet1 (Editted) (2)'!$AJ$29</c:f>
              <c:strCache>
                <c:ptCount val="1"/>
                <c:pt idx="0">
                  <c:v>7/12/2020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(2)'!$AJ$31:$AJ$44</c:f>
              <c:numCache>
                <c:formatCode>General</c:formatCode>
                <c:ptCount val="14"/>
                <c:pt idx="0">
                  <c:v>0.13770707878865304</c:v>
                </c:pt>
                <c:pt idx="1">
                  <c:v>9.4882719981686098E-2</c:v>
                </c:pt>
                <c:pt idx="2">
                  <c:v>7.4407323427105029E-2</c:v>
                </c:pt>
                <c:pt idx="3">
                  <c:v>6.8987365515598281E-2</c:v>
                </c:pt>
                <c:pt idx="4">
                  <c:v>5.5270188085241694E-2</c:v>
                </c:pt>
                <c:pt idx="5">
                  <c:v>3.5865400500834803E-2</c:v>
                </c:pt>
                <c:pt idx="6">
                  <c:v>2.6832137314990213E-2</c:v>
                </c:pt>
                <c:pt idx="7">
                  <c:v>2.3620310404467694E-2</c:v>
                </c:pt>
                <c:pt idx="8">
                  <c:v>2.0876874918396376E-2</c:v>
                </c:pt>
                <c:pt idx="9">
                  <c:v>2.1144527160939921E-2</c:v>
                </c:pt>
                <c:pt idx="10">
                  <c:v>3.2787399711584057E-2</c:v>
                </c:pt>
                <c:pt idx="11">
                  <c:v>2.6965963436261987E-2</c:v>
                </c:pt>
                <c:pt idx="12">
                  <c:v>1.6059134552612597E-2</c:v>
                </c:pt>
                <c:pt idx="13">
                  <c:v>1.458704721862311E-2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71-4B07-AD6D-CB5C82FFED8E}"/>
            </c:ext>
          </c:extLst>
        </c:ser>
        <c:ser>
          <c:idx val="33"/>
          <c:order val="33"/>
          <c:tx>
            <c:strRef>
              <c:f>'Sheet1 (Editted) (2)'!$AK$29</c:f>
              <c:strCache>
                <c:ptCount val="1"/>
                <c:pt idx="0">
                  <c:v>9/4/2020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(2)'!$AK$31:$AK$44</c:f>
              <c:numCache>
                <c:formatCode>General</c:formatCode>
                <c:ptCount val="14"/>
                <c:pt idx="0">
                  <c:v>0.14781095094467178</c:v>
                </c:pt>
                <c:pt idx="1">
                  <c:v>0.10746237538123263</c:v>
                </c:pt>
                <c:pt idx="2">
                  <c:v>8.6585500462836251E-2</c:v>
                </c:pt>
                <c:pt idx="3">
                  <c:v>8.0228759702427113E-2</c:v>
                </c:pt>
                <c:pt idx="4">
                  <c:v>6.4704929634901584E-2</c:v>
                </c:pt>
                <c:pt idx="5">
                  <c:v>4.2088315139972181E-2</c:v>
                </c:pt>
                <c:pt idx="6">
                  <c:v>3.0512355649963938E-2</c:v>
                </c:pt>
                <c:pt idx="7">
                  <c:v>2.6363745890539012E-2</c:v>
                </c:pt>
                <c:pt idx="8">
                  <c:v>2.0943787979032263E-2</c:v>
                </c:pt>
                <c:pt idx="9">
                  <c:v>2.0809961857760489E-2</c:v>
                </c:pt>
                <c:pt idx="10">
                  <c:v>3.4928617651932399E-2</c:v>
                </c:pt>
                <c:pt idx="11">
                  <c:v>2.9642485861697418E-2</c:v>
                </c:pt>
                <c:pt idx="12">
                  <c:v>1.8735656978048031E-2</c:v>
                </c:pt>
                <c:pt idx="13">
                  <c:v>1.6460612916427912E-2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4D-4BE5-AE77-2DDCE3EF9126}"/>
            </c:ext>
          </c:extLst>
        </c:ser>
        <c:ser>
          <c:idx val="34"/>
          <c:order val="34"/>
          <c:tx>
            <c:strRef>
              <c:f>'Sheet1 (Editted) (2)'!$AL$29</c:f>
              <c:strCache>
                <c:ptCount val="1"/>
                <c:pt idx="0">
                  <c:v>11/3/2020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(2)'!$AL$31:$AL$44</c:f>
              <c:numCache>
                <c:formatCode>General</c:formatCode>
                <c:ptCount val="14"/>
                <c:pt idx="0">
                  <c:v>0.18876174405383392</c:v>
                </c:pt>
                <c:pt idx="1">
                  <c:v>0.12767011969327016</c:v>
                </c:pt>
                <c:pt idx="2">
                  <c:v>0.10438437459198188</c:v>
                </c:pt>
                <c:pt idx="3">
                  <c:v>9.5418024466773194E-2</c:v>
                </c:pt>
                <c:pt idx="4">
                  <c:v>7.781988951953521E-2</c:v>
                </c:pt>
                <c:pt idx="5">
                  <c:v>5.2928230962985691E-2</c:v>
                </c:pt>
                <c:pt idx="6">
                  <c:v>3.9211053532629089E-2</c:v>
                </c:pt>
                <c:pt idx="7">
                  <c:v>3.4660965409388858E-2</c:v>
                </c:pt>
                <c:pt idx="8">
                  <c:v>2.7032876496897871E-2</c:v>
                </c:pt>
                <c:pt idx="9">
                  <c:v>2.5627702223544272E-2</c:v>
                </c:pt>
                <c:pt idx="10">
                  <c:v>3.9277966593264983E-2</c:v>
                </c:pt>
                <c:pt idx="11">
                  <c:v>3.4192573984937656E-2</c:v>
                </c:pt>
                <c:pt idx="12">
                  <c:v>2.2750440616201181E-2</c:v>
                </c:pt>
                <c:pt idx="13">
                  <c:v>1.8735656978048031E-2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4D-4BE5-AE77-2DDCE3EF9126}"/>
            </c:ext>
          </c:extLst>
        </c:ser>
        <c:ser>
          <c:idx val="35"/>
          <c:order val="35"/>
          <c:tx>
            <c:strRef>
              <c:f>'Sheet1 (Editted) (2)'!$AM$29</c:f>
              <c:strCache>
                <c:ptCount val="1"/>
                <c:pt idx="0">
                  <c:v>2/4/2021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(2)'!$AM$31:$AM$44</c:f>
              <c:numCache>
                <c:formatCode>General</c:formatCode>
                <c:ptCount val="14"/>
                <c:pt idx="0">
                  <c:v>0.18113365514134291</c:v>
                </c:pt>
                <c:pt idx="1">
                  <c:v>0.1199082046595074</c:v>
                </c:pt>
                <c:pt idx="2">
                  <c:v>9.8897503619839233E-2</c:v>
                </c:pt>
                <c:pt idx="3">
                  <c:v>8.959658819145111E-2</c:v>
                </c:pt>
                <c:pt idx="4">
                  <c:v>7.0660192031495428E-2</c:v>
                </c:pt>
                <c:pt idx="5">
                  <c:v>4.0950793109162123E-2</c:v>
                </c:pt>
                <c:pt idx="6">
                  <c:v>2.2348962252385866E-2</c:v>
                </c:pt>
                <c:pt idx="7">
                  <c:v>1.7598134947237973E-2</c:v>
                </c:pt>
                <c:pt idx="8">
                  <c:v>1.0505350519834073E-2</c:v>
                </c:pt>
                <c:pt idx="9">
                  <c:v>1.170978561128002E-2</c:v>
                </c:pt>
                <c:pt idx="10">
                  <c:v>3.2787399711584057E-2</c:v>
                </c:pt>
                <c:pt idx="11">
                  <c:v>3.1850616862681654E-2</c:v>
                </c:pt>
                <c:pt idx="12">
                  <c:v>2.2482788373657636E-2</c:v>
                </c:pt>
                <c:pt idx="13">
                  <c:v>1.7932700250417401E-2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4D-4BE5-AE77-2DDCE3EF9126}"/>
            </c:ext>
          </c:extLst>
        </c:ser>
        <c:ser>
          <c:idx val="36"/>
          <c:order val="36"/>
          <c:tx>
            <c:strRef>
              <c:f>'Sheet1 (Editted) (2)'!$AN$29</c:f>
              <c:strCache>
                <c:ptCount val="1"/>
                <c:pt idx="0">
                  <c:v>6/8/2021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(2)'!$AN$31:$AN$44</c:f>
              <c:numCache>
                <c:formatCode>General</c:formatCode>
                <c:ptCount val="14"/>
                <c:pt idx="0">
                  <c:v>0.18113365514134291</c:v>
                </c:pt>
                <c:pt idx="1">
                  <c:v>0.1199082046595074</c:v>
                </c:pt>
                <c:pt idx="2">
                  <c:v>9.8897503619839233E-2</c:v>
                </c:pt>
                <c:pt idx="3">
                  <c:v>8.959658819145111E-2</c:v>
                </c:pt>
                <c:pt idx="4">
                  <c:v>7.0660192031495428E-2</c:v>
                </c:pt>
                <c:pt idx="5">
                  <c:v>4.0950793109162123E-2</c:v>
                </c:pt>
                <c:pt idx="6">
                  <c:v>2.2348962252385866E-2</c:v>
                </c:pt>
                <c:pt idx="7">
                  <c:v>1.7598134947237973E-2</c:v>
                </c:pt>
                <c:pt idx="8">
                  <c:v>1.0505350519834073E-2</c:v>
                </c:pt>
                <c:pt idx="9">
                  <c:v>1.170978561128002E-2</c:v>
                </c:pt>
                <c:pt idx="10">
                  <c:v>3.2787399711584057E-2</c:v>
                </c:pt>
                <c:pt idx="11">
                  <c:v>3.1850616862681654E-2</c:v>
                </c:pt>
                <c:pt idx="12">
                  <c:v>2.2482788373657636E-2</c:v>
                </c:pt>
                <c:pt idx="13">
                  <c:v>1.7932700250417401E-2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5-4703-8066-BE1D4EA3F906}"/>
            </c:ext>
          </c:extLst>
        </c:ser>
        <c:ser>
          <c:idx val="37"/>
          <c:order val="37"/>
          <c:tx>
            <c:strRef>
              <c:f>'Sheet1 (Editted) (2)'!$AO$29</c:f>
              <c:strCache>
                <c:ptCount val="1"/>
                <c:pt idx="0">
                  <c:v>2/21/2022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(Editted) (2)'!$AO$31:$AO$44</c:f>
              <c:numCache>
                <c:formatCode>General</c:formatCode>
                <c:ptCount val="14"/>
                <c:pt idx="0">
                  <c:v>0.2185380560368031</c:v>
                </c:pt>
                <c:pt idx="1">
                  <c:v>0.14105273182044731</c:v>
                </c:pt>
                <c:pt idx="2">
                  <c:v>0.11856994344678967</c:v>
                </c:pt>
                <c:pt idx="3">
                  <c:v>0.10846607129077092</c:v>
                </c:pt>
                <c:pt idx="4">
                  <c:v>8.8592892281912819E-2</c:v>
                </c:pt>
                <c:pt idx="5">
                  <c:v>6.0288667632933127E-2</c:v>
                </c:pt>
                <c:pt idx="6">
                  <c:v>4.7106794687663621E-2</c:v>
                </c:pt>
                <c:pt idx="7">
                  <c:v>3.8073531501819032E-2</c:v>
                </c:pt>
                <c:pt idx="8">
                  <c:v>2.8973355255338562E-2</c:v>
                </c:pt>
                <c:pt idx="9">
                  <c:v>2.8571876891523247E-2</c:v>
                </c:pt>
                <c:pt idx="10">
                  <c:v>4.4229533080320536E-2</c:v>
                </c:pt>
                <c:pt idx="11">
                  <c:v>3.7270574774188402E-2</c:v>
                </c:pt>
                <c:pt idx="12">
                  <c:v>2.2148223070478205E-2</c:v>
                </c:pt>
                <c:pt idx="13">
                  <c:v>1.7263569644058542E-2</c:v>
                </c:pt>
              </c:numCache>
            </c:numRef>
          </c:xVal>
          <c:yVal>
            <c:numRef>
              <c:f>'Sheet1 (Editted) (2)'!$C$30:$C$44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C1-4486-B2C5-5127FD0D1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04056"/>
        <c:axId val="624697168"/>
      </c:scatterChart>
      <c:valAx>
        <c:axId val="624704056"/>
        <c:scaling>
          <c:orientation val="minMax"/>
          <c:max val="1"/>
          <c:min val="-1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Displacement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697168"/>
        <c:crosses val="autoZero"/>
        <c:crossBetween val="midCat"/>
        <c:majorUnit val="0.2"/>
      </c:valAx>
      <c:valAx>
        <c:axId val="624697168"/>
        <c:scaling>
          <c:orientation val="maxMin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Depth (ft)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704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sz="1400"/>
            </a:pPr>
            <a:r>
              <a:rPr lang="en-US" sz="1400"/>
              <a:t>Metro Center Slope-SI 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'Sheet1 (Editted) (2)'!$G$3</c:f>
              <c:strCache>
                <c:ptCount val="1"/>
                <c:pt idx="0">
                  <c:v>A</c:v>
                </c:pt>
              </c:strCache>
            </c:strRef>
          </c:tx>
          <c:marker>
            <c:symbol val="none"/>
          </c:marker>
          <c:cat>
            <c:numRef>
              <c:f>'Sheet1 (Editted) (2)'!$D$29:$BK$29</c:f>
              <c:numCache>
                <c:formatCode>m/d/yyyy</c:formatCode>
                <c:ptCount val="60"/>
                <c:pt idx="0">
                  <c:v>43379</c:v>
                </c:pt>
                <c:pt idx="1">
                  <c:v>43404</c:v>
                </c:pt>
                <c:pt idx="2">
                  <c:v>43417</c:v>
                </c:pt>
                <c:pt idx="3">
                  <c:v>43439</c:v>
                </c:pt>
                <c:pt idx="4">
                  <c:v>43452</c:v>
                </c:pt>
                <c:pt idx="5">
                  <c:v>43470</c:v>
                </c:pt>
                <c:pt idx="6">
                  <c:v>43486</c:v>
                </c:pt>
                <c:pt idx="7">
                  <c:v>43502</c:v>
                </c:pt>
                <c:pt idx="8">
                  <c:v>43521</c:v>
                </c:pt>
                <c:pt idx="9">
                  <c:v>43537</c:v>
                </c:pt>
                <c:pt idx="10">
                  <c:v>43556</c:v>
                </c:pt>
                <c:pt idx="11">
                  <c:v>43565</c:v>
                </c:pt>
                <c:pt idx="12">
                  <c:v>43579</c:v>
                </c:pt>
                <c:pt idx="13">
                  <c:v>43600</c:v>
                </c:pt>
                <c:pt idx="14">
                  <c:v>43614</c:v>
                </c:pt>
                <c:pt idx="15">
                  <c:v>43628</c:v>
                </c:pt>
                <c:pt idx="16">
                  <c:v>43654</c:v>
                </c:pt>
                <c:pt idx="17">
                  <c:v>43670</c:v>
                </c:pt>
                <c:pt idx="18">
                  <c:v>43693</c:v>
                </c:pt>
                <c:pt idx="19">
                  <c:v>43707</c:v>
                </c:pt>
                <c:pt idx="20">
                  <c:v>43733</c:v>
                </c:pt>
                <c:pt idx="21">
                  <c:v>43748</c:v>
                </c:pt>
                <c:pt idx="22">
                  <c:v>43770</c:v>
                </c:pt>
                <c:pt idx="23">
                  <c:v>43790</c:v>
                </c:pt>
                <c:pt idx="24">
                  <c:v>43806</c:v>
                </c:pt>
                <c:pt idx="25">
                  <c:v>43817</c:v>
                </c:pt>
                <c:pt idx="26">
                  <c:v>43839</c:v>
                </c:pt>
                <c:pt idx="27">
                  <c:v>43869</c:v>
                </c:pt>
                <c:pt idx="28">
                  <c:v>43902</c:v>
                </c:pt>
                <c:pt idx="29">
                  <c:v>43924</c:v>
                </c:pt>
                <c:pt idx="30">
                  <c:v>43953</c:v>
                </c:pt>
                <c:pt idx="31">
                  <c:v>43982</c:v>
                </c:pt>
                <c:pt idx="32">
                  <c:v>44024</c:v>
                </c:pt>
                <c:pt idx="33">
                  <c:v>44078</c:v>
                </c:pt>
                <c:pt idx="34">
                  <c:v>44138</c:v>
                </c:pt>
                <c:pt idx="35">
                  <c:v>44231</c:v>
                </c:pt>
                <c:pt idx="36">
                  <c:v>44355</c:v>
                </c:pt>
                <c:pt idx="37">
                  <c:v>44613</c:v>
                </c:pt>
              </c:numCache>
            </c:numRef>
          </c:cat>
          <c:val>
            <c:numRef>
              <c:f>'Sheet1 (Editted) (2)'!$D$7:$BC$7</c:f>
              <c:numCache>
                <c:formatCode>General</c:formatCode>
                <c:ptCount val="52"/>
                <c:pt idx="0">
                  <c:v>0</c:v>
                </c:pt>
                <c:pt idx="1">
                  <c:v>4.1486097594249207E-3</c:v>
                </c:pt>
                <c:pt idx="2">
                  <c:v>3.5463922137019487E-3</c:v>
                </c:pt>
                <c:pt idx="3">
                  <c:v>1.3114959884633621E-2</c:v>
                </c:pt>
                <c:pt idx="4">
                  <c:v>2.6163006708631358E-2</c:v>
                </c:pt>
                <c:pt idx="5">
                  <c:v>3.5664661318927142E-2</c:v>
                </c:pt>
                <c:pt idx="6">
                  <c:v>3.0378529528692164E-2</c:v>
                </c:pt>
                <c:pt idx="7">
                  <c:v>3.9612531896444411E-2</c:v>
                </c:pt>
                <c:pt idx="8">
                  <c:v>4.2958184928238698E-2</c:v>
                </c:pt>
                <c:pt idx="9">
                  <c:v>4.8712708142924881E-2</c:v>
                </c:pt>
                <c:pt idx="10">
                  <c:v>4.0616227805982695E-2</c:v>
                </c:pt>
                <c:pt idx="11">
                  <c:v>4.8980360385468422E-2</c:v>
                </c:pt>
                <c:pt idx="12">
                  <c:v>4.8980360385468422E-2</c:v>
                </c:pt>
                <c:pt idx="13">
                  <c:v>5.8348188874492439E-2</c:v>
                </c:pt>
                <c:pt idx="14">
                  <c:v>5.9017319480851295E-2</c:v>
                </c:pt>
                <c:pt idx="15">
                  <c:v>5.7946710510677124E-2</c:v>
                </c:pt>
                <c:pt idx="16">
                  <c:v>6.1493102724379071E-2</c:v>
                </c:pt>
                <c:pt idx="17">
                  <c:v>7.460806260901269E-2</c:v>
                </c:pt>
                <c:pt idx="18">
                  <c:v>7.5812497700458642E-2</c:v>
                </c:pt>
                <c:pt idx="19">
                  <c:v>7.7485324216355789E-2</c:v>
                </c:pt>
                <c:pt idx="20">
                  <c:v>6.5173321059352793E-2</c:v>
                </c:pt>
                <c:pt idx="21">
                  <c:v>5.5337101145877574E-2</c:v>
                </c:pt>
                <c:pt idx="22">
                  <c:v>8.1968499278960133E-2</c:v>
                </c:pt>
                <c:pt idx="23">
                  <c:v>9.7492329346485648E-2</c:v>
                </c:pt>
                <c:pt idx="24">
                  <c:v>0.10130637380273114</c:v>
                </c:pt>
                <c:pt idx="25">
                  <c:v>0.10806459292695561</c:v>
                </c:pt>
                <c:pt idx="26">
                  <c:v>0.11522429041499538</c:v>
                </c:pt>
                <c:pt idx="27">
                  <c:v>0.12010894384141504</c:v>
                </c:pt>
                <c:pt idx="28">
                  <c:v>0.12499359726783471</c:v>
                </c:pt>
                <c:pt idx="29">
                  <c:v>0.11923907405314854</c:v>
                </c:pt>
                <c:pt idx="30">
                  <c:v>0.13081503354315679</c:v>
                </c:pt>
                <c:pt idx="31">
                  <c:v>0.13476290412067404</c:v>
                </c:pt>
                <c:pt idx="32">
                  <c:v>0.13416068657495109</c:v>
                </c:pt>
                <c:pt idx="33">
                  <c:v>0.14252481915443679</c:v>
                </c:pt>
                <c:pt idx="34">
                  <c:v>0.16473995528555091</c:v>
                </c:pt>
                <c:pt idx="35">
                  <c:v>0.17276952256185718</c:v>
                </c:pt>
                <c:pt idx="36">
                  <c:v>0.17276952256185718</c:v>
                </c:pt>
                <c:pt idx="37">
                  <c:v>0.21211440221575806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A-40FA-A35E-2BB7C86A3AA0}"/>
            </c:ext>
          </c:extLst>
        </c:ser>
        <c:ser>
          <c:idx val="0"/>
          <c:order val="1"/>
          <c:tx>
            <c:strRef>
              <c:f>'Sheet1 (Editted) (2)'!$G$27</c:f>
              <c:strCache>
                <c:ptCount val="1"/>
                <c:pt idx="0">
                  <c:v>B</c:v>
                </c:pt>
              </c:strCache>
            </c:strRef>
          </c:tx>
          <c:marker>
            <c:symbol val="none"/>
          </c:marker>
          <c:cat>
            <c:numRef>
              <c:f>'Sheet1 (Editted) (2)'!$D$29:$BK$29</c:f>
              <c:numCache>
                <c:formatCode>m/d/yyyy</c:formatCode>
                <c:ptCount val="60"/>
                <c:pt idx="0">
                  <c:v>43379</c:v>
                </c:pt>
                <c:pt idx="1">
                  <c:v>43404</c:v>
                </c:pt>
                <c:pt idx="2">
                  <c:v>43417</c:v>
                </c:pt>
                <c:pt idx="3">
                  <c:v>43439</c:v>
                </c:pt>
                <c:pt idx="4">
                  <c:v>43452</c:v>
                </c:pt>
                <c:pt idx="5">
                  <c:v>43470</c:v>
                </c:pt>
                <c:pt idx="6">
                  <c:v>43486</c:v>
                </c:pt>
                <c:pt idx="7">
                  <c:v>43502</c:v>
                </c:pt>
                <c:pt idx="8">
                  <c:v>43521</c:v>
                </c:pt>
                <c:pt idx="9">
                  <c:v>43537</c:v>
                </c:pt>
                <c:pt idx="10">
                  <c:v>43556</c:v>
                </c:pt>
                <c:pt idx="11">
                  <c:v>43565</c:v>
                </c:pt>
                <c:pt idx="12">
                  <c:v>43579</c:v>
                </c:pt>
                <c:pt idx="13">
                  <c:v>43600</c:v>
                </c:pt>
                <c:pt idx="14">
                  <c:v>43614</c:v>
                </c:pt>
                <c:pt idx="15">
                  <c:v>43628</c:v>
                </c:pt>
                <c:pt idx="16">
                  <c:v>43654</c:v>
                </c:pt>
                <c:pt idx="17">
                  <c:v>43670</c:v>
                </c:pt>
                <c:pt idx="18">
                  <c:v>43693</c:v>
                </c:pt>
                <c:pt idx="19">
                  <c:v>43707</c:v>
                </c:pt>
                <c:pt idx="20">
                  <c:v>43733</c:v>
                </c:pt>
                <c:pt idx="21">
                  <c:v>43748</c:v>
                </c:pt>
                <c:pt idx="22">
                  <c:v>43770</c:v>
                </c:pt>
                <c:pt idx="23">
                  <c:v>43790</c:v>
                </c:pt>
                <c:pt idx="24">
                  <c:v>43806</c:v>
                </c:pt>
                <c:pt idx="25">
                  <c:v>43817</c:v>
                </c:pt>
                <c:pt idx="26">
                  <c:v>43839</c:v>
                </c:pt>
                <c:pt idx="27">
                  <c:v>43869</c:v>
                </c:pt>
                <c:pt idx="28">
                  <c:v>43902</c:v>
                </c:pt>
                <c:pt idx="29">
                  <c:v>43924</c:v>
                </c:pt>
                <c:pt idx="30">
                  <c:v>43953</c:v>
                </c:pt>
                <c:pt idx="31">
                  <c:v>43982</c:v>
                </c:pt>
                <c:pt idx="32">
                  <c:v>44024</c:v>
                </c:pt>
                <c:pt idx="33">
                  <c:v>44078</c:v>
                </c:pt>
                <c:pt idx="34">
                  <c:v>44138</c:v>
                </c:pt>
                <c:pt idx="35">
                  <c:v>44231</c:v>
                </c:pt>
                <c:pt idx="36">
                  <c:v>44355</c:v>
                </c:pt>
                <c:pt idx="37">
                  <c:v>44613</c:v>
                </c:pt>
              </c:numCache>
            </c:numRef>
          </c:cat>
          <c:val>
            <c:numRef>
              <c:f>'Sheet1 (Editted) (2)'!$D$31:$BB$31</c:f>
              <c:numCache>
                <c:formatCode>General</c:formatCode>
                <c:ptCount val="51"/>
                <c:pt idx="0">
                  <c:v>0</c:v>
                </c:pt>
                <c:pt idx="1">
                  <c:v>3.2787399711584051E-3</c:v>
                </c:pt>
                <c:pt idx="2">
                  <c:v>7.8957411550345264E-3</c:v>
                </c:pt>
                <c:pt idx="3">
                  <c:v>2.0475396554581062E-2</c:v>
                </c:pt>
                <c:pt idx="4">
                  <c:v>3.6869096410373094E-2</c:v>
                </c:pt>
                <c:pt idx="5">
                  <c:v>4.2824358806966931E-2</c:v>
                </c:pt>
                <c:pt idx="6">
                  <c:v>2.4891658556549526E-2</c:v>
                </c:pt>
                <c:pt idx="7">
                  <c:v>4.0683140866618582E-2</c:v>
                </c:pt>
                <c:pt idx="8">
                  <c:v>3.0780007892507479E-2</c:v>
                </c:pt>
                <c:pt idx="9">
                  <c:v>3.7002922531644861E-2</c:v>
                </c:pt>
                <c:pt idx="10">
                  <c:v>3.2988138893491711E-2</c:v>
                </c:pt>
                <c:pt idx="11">
                  <c:v>4.1686836776156866E-2</c:v>
                </c:pt>
                <c:pt idx="12">
                  <c:v>4.269053268569515E-2</c:v>
                </c:pt>
                <c:pt idx="13">
                  <c:v>5.0452447719457907E-2</c:v>
                </c:pt>
                <c:pt idx="14">
                  <c:v>5.0653186901365568E-2</c:v>
                </c:pt>
                <c:pt idx="15">
                  <c:v>5.426649217570341E-2</c:v>
                </c:pt>
                <c:pt idx="16">
                  <c:v>5.8883493359579521E-2</c:v>
                </c:pt>
                <c:pt idx="17">
                  <c:v>6.7180712878429374E-2</c:v>
                </c:pt>
                <c:pt idx="18">
                  <c:v>6.9388843879413603E-2</c:v>
                </c:pt>
                <c:pt idx="19">
                  <c:v>7.5544845457915094E-2</c:v>
                </c:pt>
                <c:pt idx="20">
                  <c:v>5.4667970539518718E-2</c:v>
                </c:pt>
                <c:pt idx="21">
                  <c:v>4.4028793898412869E-2</c:v>
                </c:pt>
                <c:pt idx="22">
                  <c:v>6.8385147969875312E-2</c:v>
                </c:pt>
                <c:pt idx="23">
                  <c:v>7.380510588138206E-2</c:v>
                </c:pt>
                <c:pt idx="24">
                  <c:v>9.287532816260953E-2</c:v>
                </c:pt>
                <c:pt idx="25">
                  <c:v>9.3611371829604259E-2</c:v>
                </c:pt>
                <c:pt idx="26">
                  <c:v>9.1470153889255917E-2</c:v>
                </c:pt>
                <c:pt idx="27">
                  <c:v>0.10732854925996085</c:v>
                </c:pt>
                <c:pt idx="28">
                  <c:v>0.11683020387025665</c:v>
                </c:pt>
                <c:pt idx="29">
                  <c:v>0.11415368144482121</c:v>
                </c:pt>
                <c:pt idx="30">
                  <c:v>0.13282242536223338</c:v>
                </c:pt>
                <c:pt idx="31">
                  <c:v>0.12954368539107494</c:v>
                </c:pt>
                <c:pt idx="32">
                  <c:v>0.13770707878865304</c:v>
                </c:pt>
                <c:pt idx="33">
                  <c:v>0.14781095094467178</c:v>
                </c:pt>
                <c:pt idx="34">
                  <c:v>0.18876174405383392</c:v>
                </c:pt>
                <c:pt idx="35">
                  <c:v>0.18113365514134291</c:v>
                </c:pt>
                <c:pt idx="36">
                  <c:v>0.18113365514134291</c:v>
                </c:pt>
                <c:pt idx="37">
                  <c:v>0.2185380560368031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A-40FA-A35E-2BB7C86A3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871928"/>
        <c:axId val="690871272"/>
      </c:lineChart>
      <c:dateAx>
        <c:axId val="690871928"/>
        <c:scaling>
          <c:orientation val="minMax"/>
          <c:max val="44635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1200"/>
                </a:pPr>
                <a:r>
                  <a:rPr lang="en-US" sz="1200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690871272"/>
        <c:crosses val="autoZero"/>
        <c:auto val="1"/>
        <c:lblOffset val="100"/>
        <c:baseTimeUnit val="days"/>
        <c:majorUnit val="1"/>
      </c:dateAx>
      <c:valAx>
        <c:axId val="690871272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Displacement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n-US"/>
          </a:p>
        </c:txPr>
        <c:crossAx val="690871928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29441</xdr:colOff>
      <xdr:row>100</xdr:row>
      <xdr:rowOff>107388</xdr:rowOff>
    </xdr:from>
    <xdr:to>
      <xdr:col>20</xdr:col>
      <xdr:colOff>330777</xdr:colOff>
      <xdr:row>122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B7CEA-6E98-4A04-9011-9AB76932C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651906</xdr:colOff>
      <xdr:row>127</xdr:row>
      <xdr:rowOff>96502</xdr:rowOff>
    </xdr:from>
    <xdr:to>
      <xdr:col>20</xdr:col>
      <xdr:colOff>344385</xdr:colOff>
      <xdr:row>149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AF6C9E-2871-46B1-B2A9-3609B79A6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121227</xdr:colOff>
      <xdr:row>100</xdr:row>
      <xdr:rowOff>69288</xdr:rowOff>
    </xdr:from>
    <xdr:to>
      <xdr:col>28</xdr:col>
      <xdr:colOff>515595</xdr:colOff>
      <xdr:row>114</xdr:row>
      <xdr:rowOff>155093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29652C-7FD5-4357-B632-F689D464F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caluser\Desktop\01\MDOT-Slope%20Inclinometer%2007.28.2020%20(12)\1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3)"/>
      <sheetName val="Sheet1 (2)"/>
      <sheetName val="Sheet1"/>
    </sheetNames>
    <sheetDataSet>
      <sheetData sheetId="0"/>
      <sheetData sheetId="1"/>
      <sheetData sheetId="2">
        <row r="5">
          <cell r="D5">
            <v>43381</v>
          </cell>
          <cell r="E5">
            <v>43405</v>
          </cell>
          <cell r="F5">
            <v>43417</v>
          </cell>
          <cell r="G5">
            <v>43440</v>
          </cell>
          <cell r="H5">
            <v>43452</v>
          </cell>
          <cell r="I5">
            <v>43470</v>
          </cell>
          <cell r="J5">
            <v>43486</v>
          </cell>
          <cell r="K5">
            <v>43502</v>
          </cell>
          <cell r="L5">
            <v>43521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5"/>
  <sheetViews>
    <sheetView tabSelected="1" topLeftCell="A88" zoomScale="60" zoomScaleNormal="60" workbookViewId="0">
      <selection activeCell="AJ123" sqref="AJ123"/>
    </sheetView>
  </sheetViews>
  <sheetFormatPr defaultRowHeight="15" x14ac:dyDescent="0.25"/>
  <cols>
    <col min="3" max="4" width="14.7109375" bestFit="1" customWidth="1"/>
    <col min="5" max="5" width="16.7109375" bestFit="1" customWidth="1"/>
    <col min="6" max="6" width="22.7109375" bestFit="1" customWidth="1"/>
    <col min="7" max="7" width="11" customWidth="1"/>
    <col min="8" max="8" width="12" customWidth="1"/>
    <col min="9" max="9" width="10.5703125" customWidth="1"/>
    <col min="10" max="10" width="11" customWidth="1"/>
    <col min="11" max="11" width="10.85546875" customWidth="1"/>
    <col min="12" max="12" width="12.28515625" customWidth="1"/>
    <col min="13" max="13" width="11.28515625" bestFit="1" customWidth="1"/>
    <col min="14" max="14" width="10.28515625" bestFit="1" customWidth="1"/>
    <col min="15" max="15" width="11.28515625" bestFit="1" customWidth="1"/>
    <col min="16" max="16" width="10.7109375" bestFit="1" customWidth="1"/>
    <col min="17" max="17" width="10.28515625" bestFit="1" customWidth="1"/>
    <col min="18" max="18" width="10.7109375" bestFit="1" customWidth="1"/>
    <col min="19" max="19" width="10.28515625" bestFit="1" customWidth="1"/>
    <col min="21" max="21" width="10.7109375" bestFit="1" customWidth="1"/>
    <col min="22" max="22" width="10.28515625" bestFit="1" customWidth="1"/>
    <col min="23" max="24" width="10.7109375" bestFit="1" customWidth="1"/>
    <col min="25" max="25" width="11.140625" bestFit="1" customWidth="1"/>
    <col min="26" max="26" width="9.7109375" bestFit="1" customWidth="1"/>
    <col min="27" max="27" width="10.7109375" bestFit="1" customWidth="1"/>
    <col min="28" max="28" width="10.28515625" bestFit="1" customWidth="1"/>
    <col min="29" max="29" width="11.140625" bestFit="1" customWidth="1"/>
    <col min="31" max="31" width="10" bestFit="1" customWidth="1"/>
    <col min="36" max="39" width="16" bestFit="1" customWidth="1"/>
    <col min="40" max="40" width="10.5703125" bestFit="1" customWidth="1"/>
    <col min="41" max="41" width="16" bestFit="1" customWidth="1"/>
  </cols>
  <sheetData>
    <row r="1" spans="1:41" x14ac:dyDescent="0.25">
      <c r="C1" t="s">
        <v>0</v>
      </c>
    </row>
    <row r="2" spans="1:41" x14ac:dyDescent="0.25">
      <c r="N2" s="8" t="s">
        <v>7</v>
      </c>
      <c r="O2" s="8"/>
      <c r="P2" s="8"/>
      <c r="Q2" s="8"/>
      <c r="R2" s="8"/>
      <c r="S2" s="8"/>
    </row>
    <row r="3" spans="1:41" x14ac:dyDescent="0.25">
      <c r="C3" t="s">
        <v>1</v>
      </c>
      <c r="G3" t="s">
        <v>8</v>
      </c>
      <c r="N3" s="8"/>
      <c r="O3" s="8"/>
      <c r="P3" s="8"/>
      <c r="Q3" s="8"/>
      <c r="R3" s="8"/>
      <c r="S3" s="8"/>
    </row>
    <row r="4" spans="1:41" x14ac:dyDescent="0.25">
      <c r="C4" t="s">
        <v>2</v>
      </c>
      <c r="D4" t="s">
        <v>0</v>
      </c>
      <c r="E4" t="s">
        <v>3</v>
      </c>
      <c r="F4" t="s">
        <v>4</v>
      </c>
    </row>
    <row r="5" spans="1:41" x14ac:dyDescent="0.25">
      <c r="C5" t="s">
        <v>5</v>
      </c>
      <c r="D5" s="1">
        <v>43379</v>
      </c>
      <c r="E5" s="1">
        <v>43404</v>
      </c>
      <c r="F5" s="1">
        <v>43417</v>
      </c>
      <c r="G5" s="1">
        <v>43439</v>
      </c>
      <c r="H5" s="1">
        <v>43452</v>
      </c>
      <c r="I5" s="1">
        <v>43470</v>
      </c>
      <c r="J5" s="1">
        <v>43486</v>
      </c>
      <c r="K5" s="1">
        <v>43502</v>
      </c>
      <c r="L5" s="1">
        <v>43521</v>
      </c>
      <c r="M5" s="1">
        <v>43537</v>
      </c>
      <c r="N5" s="1">
        <v>43556</v>
      </c>
      <c r="O5" s="1">
        <v>43565</v>
      </c>
      <c r="P5" s="1">
        <v>43579</v>
      </c>
      <c r="Q5" s="1">
        <v>43600</v>
      </c>
      <c r="R5" s="1">
        <v>43614</v>
      </c>
      <c r="S5" s="1">
        <v>43628</v>
      </c>
      <c r="T5" s="1">
        <v>43654</v>
      </c>
      <c r="U5" s="1">
        <v>43670</v>
      </c>
      <c r="V5" s="1">
        <v>43693</v>
      </c>
      <c r="W5" s="1">
        <v>43707</v>
      </c>
      <c r="X5" s="1">
        <v>43733</v>
      </c>
      <c r="Y5" s="1">
        <v>43748</v>
      </c>
      <c r="Z5" s="1">
        <v>43770</v>
      </c>
      <c r="AA5" s="1">
        <v>43790</v>
      </c>
      <c r="AB5" s="1">
        <v>43806</v>
      </c>
      <c r="AC5" s="1">
        <v>43817</v>
      </c>
      <c r="AD5" s="1">
        <v>43839</v>
      </c>
      <c r="AE5" s="1">
        <v>43869</v>
      </c>
      <c r="AF5" s="1">
        <v>43902</v>
      </c>
      <c r="AG5" s="1">
        <v>43924</v>
      </c>
      <c r="AH5" s="5">
        <v>43953</v>
      </c>
      <c r="AI5" s="5">
        <v>43982</v>
      </c>
      <c r="AJ5" s="5">
        <v>44024</v>
      </c>
      <c r="AK5" s="1">
        <v>44078</v>
      </c>
      <c r="AL5" s="1">
        <v>44138</v>
      </c>
      <c r="AM5" s="1">
        <v>44231</v>
      </c>
      <c r="AN5" s="1">
        <v>44355</v>
      </c>
      <c r="AO5" s="1">
        <v>44613</v>
      </c>
    </row>
    <row r="6" spans="1:41" x14ac:dyDescent="0.25">
      <c r="A6" s="2">
        <f>B6-3</f>
        <v>-1</v>
      </c>
      <c r="B6">
        <v>2</v>
      </c>
      <c r="C6" s="3">
        <v>1</v>
      </c>
    </row>
    <row r="7" spans="1:41" x14ac:dyDescent="0.25">
      <c r="A7" s="2">
        <f t="shared" ref="A7:A20" si="0">B7-3</f>
        <v>1</v>
      </c>
      <c r="B7">
        <v>4</v>
      </c>
      <c r="C7" s="3">
        <v>1</v>
      </c>
      <c r="D7">
        <v>0</v>
      </c>
      <c r="E7">
        <f t="shared" ref="E7:W20" si="1">ABS(E54*(SIN(42*PI()/180)))</f>
        <v>4.1486097594249207E-3</v>
      </c>
      <c r="F7">
        <f t="shared" si="1"/>
        <v>3.5463922137019487E-3</v>
      </c>
      <c r="G7">
        <f t="shared" si="1"/>
        <v>1.3114959884633621E-2</v>
      </c>
      <c r="H7">
        <f t="shared" si="1"/>
        <v>2.6163006708631358E-2</v>
      </c>
      <c r="I7">
        <f t="shared" si="1"/>
        <v>3.5664661318927142E-2</v>
      </c>
      <c r="J7">
        <f t="shared" si="1"/>
        <v>3.0378529528692164E-2</v>
      </c>
      <c r="K7">
        <f t="shared" si="1"/>
        <v>3.9612531896444411E-2</v>
      </c>
      <c r="L7">
        <f t="shared" si="1"/>
        <v>4.2958184928238698E-2</v>
      </c>
      <c r="M7">
        <f t="shared" si="1"/>
        <v>4.8712708142924881E-2</v>
      </c>
      <c r="N7">
        <f t="shared" si="1"/>
        <v>4.0616227805982695E-2</v>
      </c>
      <c r="O7">
        <f t="shared" si="1"/>
        <v>4.8980360385468422E-2</v>
      </c>
      <c r="P7">
        <f t="shared" si="1"/>
        <v>4.8980360385468422E-2</v>
      </c>
      <c r="Q7">
        <f t="shared" si="1"/>
        <v>5.8348188874492439E-2</v>
      </c>
      <c r="R7">
        <f t="shared" si="1"/>
        <v>5.9017319480851295E-2</v>
      </c>
      <c r="S7">
        <f t="shared" si="1"/>
        <v>5.7946710510677124E-2</v>
      </c>
      <c r="T7">
        <f t="shared" si="1"/>
        <v>6.1493102724379071E-2</v>
      </c>
      <c r="U7">
        <f t="shared" si="1"/>
        <v>7.460806260901269E-2</v>
      </c>
      <c r="V7">
        <f t="shared" si="1"/>
        <v>7.5812497700458642E-2</v>
      </c>
      <c r="W7">
        <f t="shared" si="1"/>
        <v>7.7485324216355789E-2</v>
      </c>
      <c r="X7">
        <f t="shared" ref="X7:AO7" si="2">ABS(X54*(SIN(42*PI()/180)))</f>
        <v>6.5173321059352793E-2</v>
      </c>
      <c r="Y7">
        <f t="shared" si="2"/>
        <v>5.5337101145877574E-2</v>
      </c>
      <c r="Z7">
        <f t="shared" si="2"/>
        <v>8.1968499278960133E-2</v>
      </c>
      <c r="AA7">
        <f t="shared" si="2"/>
        <v>9.7492329346485648E-2</v>
      </c>
      <c r="AB7">
        <f t="shared" si="2"/>
        <v>0.10130637380273114</v>
      </c>
      <c r="AC7">
        <f t="shared" si="2"/>
        <v>0.10806459292695561</v>
      </c>
      <c r="AD7">
        <f t="shared" si="2"/>
        <v>0.11522429041499538</v>
      </c>
      <c r="AE7">
        <f t="shared" si="2"/>
        <v>0.12010894384141504</v>
      </c>
      <c r="AF7">
        <f t="shared" si="2"/>
        <v>0.12499359726783471</v>
      </c>
      <c r="AG7">
        <f t="shared" si="2"/>
        <v>0.11923907405314854</v>
      </c>
      <c r="AH7">
        <f t="shared" si="2"/>
        <v>0.13081503354315679</v>
      </c>
      <c r="AI7">
        <f t="shared" si="2"/>
        <v>0.13476290412067404</v>
      </c>
      <c r="AJ7">
        <f t="shared" si="2"/>
        <v>0.13416068657495109</v>
      </c>
      <c r="AK7">
        <f t="shared" si="2"/>
        <v>0.14252481915443679</v>
      </c>
      <c r="AL7">
        <f t="shared" si="2"/>
        <v>0.16473995528555091</v>
      </c>
      <c r="AM7">
        <f t="shared" si="2"/>
        <v>0.17276952256185718</v>
      </c>
      <c r="AN7">
        <f t="shared" si="2"/>
        <v>0.17276952256185718</v>
      </c>
      <c r="AO7">
        <f t="shared" si="2"/>
        <v>0.21211440221575806</v>
      </c>
    </row>
    <row r="8" spans="1:41" x14ac:dyDescent="0.25">
      <c r="A8" s="2">
        <f t="shared" si="0"/>
        <v>3</v>
      </c>
      <c r="B8">
        <v>6</v>
      </c>
      <c r="C8" s="3">
        <v>3</v>
      </c>
      <c r="D8">
        <v>0</v>
      </c>
      <c r="E8">
        <f t="shared" si="1"/>
        <v>4.8846534264196653E-3</v>
      </c>
      <c r="F8">
        <f t="shared" si="1"/>
        <v>6.6913060635885829E-4</v>
      </c>
      <c r="G8">
        <f t="shared" si="1"/>
        <v>1.0706089701741732E-3</v>
      </c>
      <c r="H8">
        <f t="shared" si="1"/>
        <v>9.1001762464804712E-3</v>
      </c>
      <c r="I8">
        <f t="shared" si="1"/>
        <v>1.4185568854807795E-2</v>
      </c>
      <c r="J8">
        <f t="shared" si="1"/>
        <v>9.5016546102957879E-3</v>
      </c>
      <c r="K8">
        <f t="shared" si="1"/>
        <v>1.8936396159955689E-2</v>
      </c>
      <c r="L8">
        <f t="shared" si="1"/>
        <v>1.9806265948222206E-2</v>
      </c>
      <c r="M8">
        <f t="shared" si="1"/>
        <v>2.3285745101288266E-2</v>
      </c>
      <c r="N8">
        <f t="shared" si="1"/>
        <v>2.0475396554581062E-2</v>
      </c>
      <c r="O8">
        <f t="shared" si="1"/>
        <v>2.7635094042620847E-2</v>
      </c>
      <c r="P8">
        <f t="shared" si="1"/>
        <v>2.6497572011810789E-2</v>
      </c>
      <c r="Q8">
        <f t="shared" si="1"/>
        <v>3.2653573590312283E-2</v>
      </c>
      <c r="R8">
        <f t="shared" si="1"/>
        <v>3.4660965409388858E-2</v>
      </c>
      <c r="S8">
        <f t="shared" si="1"/>
        <v>3.4660965409388858E-2</v>
      </c>
      <c r="T8">
        <f t="shared" si="1"/>
        <v>3.860883598690612E-2</v>
      </c>
      <c r="U8">
        <f t="shared" si="1"/>
        <v>4.0014010260259719E-2</v>
      </c>
      <c r="V8">
        <f t="shared" si="1"/>
        <v>4.3894967777141101E-2</v>
      </c>
      <c r="W8">
        <f t="shared" si="1"/>
        <v>4.4898663686679392E-2</v>
      </c>
      <c r="X8">
        <f t="shared" ref="X8:AO8" si="3">ABS(X55*(SIN(42*PI()/180)))</f>
        <v>4.0080923320895613E-2</v>
      </c>
      <c r="Y8">
        <f t="shared" si="3"/>
        <v>3.860883598690612E-2</v>
      </c>
      <c r="Z8">
        <f t="shared" si="3"/>
        <v>4.2088315139972181E-2</v>
      </c>
      <c r="AA8">
        <f t="shared" si="3"/>
        <v>5.031862159818614E-2</v>
      </c>
      <c r="AB8">
        <f t="shared" si="3"/>
        <v>4.851196896101722E-2</v>
      </c>
      <c r="AC8">
        <f t="shared" si="3"/>
        <v>5.1857621992811513E-2</v>
      </c>
      <c r="AD8">
        <f t="shared" si="3"/>
        <v>5.7277579904318261E-2</v>
      </c>
      <c r="AE8">
        <f t="shared" si="3"/>
        <v>5.8883493359579521E-2</v>
      </c>
      <c r="AF8">
        <f t="shared" si="3"/>
        <v>6.2296059452009701E-2</v>
      </c>
      <c r="AG8">
        <f t="shared" si="3"/>
        <v>5.7143753783046494E-2</v>
      </c>
      <c r="AH8">
        <f t="shared" si="3"/>
        <v>6.6645408393342279E-2</v>
      </c>
      <c r="AI8">
        <f t="shared" si="3"/>
        <v>6.9121191636870055E-2</v>
      </c>
      <c r="AJ8">
        <f t="shared" si="3"/>
        <v>7.1931540183577253E-2</v>
      </c>
      <c r="AK8">
        <f t="shared" si="3"/>
        <v>6.8652800212418846E-2</v>
      </c>
      <c r="AL8">
        <f t="shared" si="3"/>
        <v>7.7552237276991676E-2</v>
      </c>
      <c r="AM8">
        <f t="shared" si="3"/>
        <v>7.3403627517566752E-2</v>
      </c>
      <c r="AN8">
        <f t="shared" si="3"/>
        <v>7.3403627517566752E-2</v>
      </c>
      <c r="AO8">
        <f t="shared" si="3"/>
        <v>9.8228373013480405E-2</v>
      </c>
    </row>
    <row r="9" spans="1:41" x14ac:dyDescent="0.25">
      <c r="A9" s="2">
        <f t="shared" si="0"/>
        <v>5</v>
      </c>
      <c r="B9">
        <v>8</v>
      </c>
      <c r="C9" s="3">
        <v>5</v>
      </c>
      <c r="D9">
        <v>0</v>
      </c>
      <c r="E9">
        <f t="shared" si="1"/>
        <v>1.5390003946253738E-3</v>
      </c>
      <c r="F9">
        <f t="shared" si="1"/>
        <v>2.0073918190765747E-3</v>
      </c>
      <c r="G9">
        <f t="shared" si="1"/>
        <v>2.6765224254354331E-4</v>
      </c>
      <c r="H9">
        <f t="shared" si="1"/>
        <v>7.4942627912192123E-3</v>
      </c>
      <c r="I9">
        <f t="shared" si="1"/>
        <v>1.2111263975095335E-2</v>
      </c>
      <c r="J9">
        <f t="shared" si="1"/>
        <v>7.0927844274038974E-3</v>
      </c>
      <c r="K9">
        <f t="shared" si="1"/>
        <v>1.6594439037699683E-2</v>
      </c>
      <c r="L9">
        <f t="shared" si="1"/>
        <v>1.5791482310069053E-2</v>
      </c>
      <c r="M9">
        <f t="shared" si="1"/>
        <v>1.7263569644058542E-2</v>
      </c>
      <c r="N9">
        <f t="shared" si="1"/>
        <v>1.4319394976079565E-2</v>
      </c>
      <c r="O9">
        <f t="shared" si="1"/>
        <v>2.0609222675852835E-2</v>
      </c>
      <c r="P9">
        <f t="shared" si="1"/>
        <v>1.9270961463135117E-2</v>
      </c>
      <c r="Q9">
        <f t="shared" si="1"/>
        <v>2.4557093253370101E-2</v>
      </c>
      <c r="R9">
        <f t="shared" si="1"/>
        <v>2.6229919769267241E-2</v>
      </c>
      <c r="S9">
        <f t="shared" si="1"/>
        <v>2.6096093647995471E-2</v>
      </c>
      <c r="T9">
        <f t="shared" si="1"/>
        <v>2.9374833619153877E-2</v>
      </c>
      <c r="U9">
        <f t="shared" si="1"/>
        <v>3.0846920953143366E-2</v>
      </c>
      <c r="V9">
        <f t="shared" si="1"/>
        <v>3.4460226227481197E-2</v>
      </c>
      <c r="W9">
        <f t="shared" si="1"/>
        <v>3.5463922137019488E-2</v>
      </c>
      <c r="X9">
        <f t="shared" ref="X9:AO9" si="4">ABS(X56*(SIN(42*PI()/180)))</f>
        <v>3.2653573590312283E-2</v>
      </c>
      <c r="Y9">
        <f t="shared" si="4"/>
        <v>3.2385921347768735E-2</v>
      </c>
      <c r="Z9">
        <f t="shared" si="4"/>
        <v>3.3657269499850567E-2</v>
      </c>
      <c r="AA9">
        <f t="shared" si="4"/>
        <v>4.2489793503787496E-2</v>
      </c>
      <c r="AB9">
        <f t="shared" si="4"/>
        <v>4.0415488624075041E-2</v>
      </c>
      <c r="AC9">
        <f t="shared" si="4"/>
        <v>4.3894967777141101E-2</v>
      </c>
      <c r="AD9">
        <f t="shared" si="4"/>
        <v>4.8712708142924881E-2</v>
      </c>
      <c r="AE9">
        <f t="shared" si="4"/>
        <v>4.9381838749283744E-2</v>
      </c>
      <c r="AF9">
        <f t="shared" si="4"/>
        <v>5.19245350534474E-2</v>
      </c>
      <c r="AG9">
        <f t="shared" si="4"/>
        <v>4.6571490202576532E-2</v>
      </c>
      <c r="AH9">
        <f t="shared" si="4"/>
        <v>5.5805492570328775E-2</v>
      </c>
      <c r="AI9">
        <f t="shared" si="4"/>
        <v>5.8883493359579521E-2</v>
      </c>
      <c r="AJ9">
        <f t="shared" si="4"/>
        <v>6.2362972512645588E-2</v>
      </c>
      <c r="AK9">
        <f t="shared" si="4"/>
        <v>5.9820276208481925E-2</v>
      </c>
      <c r="AL9">
        <f t="shared" si="4"/>
        <v>6.9388843879413603E-2</v>
      </c>
      <c r="AM9">
        <f t="shared" si="4"/>
        <v>6.4571103513629824E-2</v>
      </c>
      <c r="AN9">
        <f t="shared" si="4"/>
        <v>6.4571103513629824E-2</v>
      </c>
      <c r="AO9">
        <f t="shared" si="4"/>
        <v>8.6652413523472138E-2</v>
      </c>
    </row>
    <row r="10" spans="1:41" x14ac:dyDescent="0.25">
      <c r="A10" s="2">
        <f t="shared" si="0"/>
        <v>7</v>
      </c>
      <c r="B10">
        <v>10</v>
      </c>
      <c r="C10" s="3">
        <v>7</v>
      </c>
      <c r="D10">
        <v>0</v>
      </c>
      <c r="E10">
        <f t="shared" si="1"/>
        <v>2.4757832435277757E-3</v>
      </c>
      <c r="F10">
        <f t="shared" si="1"/>
        <v>5.4868709721426377E-3</v>
      </c>
      <c r="G10">
        <f t="shared" si="1"/>
        <v>2.6765224254354332E-3</v>
      </c>
      <c r="H10">
        <f t="shared" si="1"/>
        <v>5.6876101540502952E-3</v>
      </c>
      <c r="I10">
        <f t="shared" si="1"/>
        <v>1.0304611337926418E-2</v>
      </c>
      <c r="J10">
        <f t="shared" si="1"/>
        <v>5.0853926083273228E-3</v>
      </c>
      <c r="K10">
        <f t="shared" si="1"/>
        <v>1.411865579417191E-2</v>
      </c>
      <c r="L10">
        <f t="shared" si="1"/>
        <v>1.2312003157002991E-2</v>
      </c>
      <c r="M10">
        <f t="shared" si="1"/>
        <v>1.2847307642090078E-2</v>
      </c>
      <c r="N10">
        <f t="shared" si="1"/>
        <v>9.1001762464804712E-3</v>
      </c>
      <c r="O10">
        <f t="shared" si="1"/>
        <v>1.4453221097351339E-2</v>
      </c>
      <c r="P10">
        <f t="shared" si="1"/>
        <v>1.2847307642090078E-2</v>
      </c>
      <c r="Q10">
        <f t="shared" si="1"/>
        <v>1.7263569644058542E-2</v>
      </c>
      <c r="R10">
        <f t="shared" si="1"/>
        <v>1.8802570038683915E-2</v>
      </c>
      <c r="S10">
        <f t="shared" si="1"/>
        <v>1.8601830856776257E-2</v>
      </c>
      <c r="T10">
        <f t="shared" si="1"/>
        <v>2.1813657767298777E-2</v>
      </c>
      <c r="U10">
        <f t="shared" si="1"/>
        <v>2.3754136525739464E-2</v>
      </c>
      <c r="V10">
        <f t="shared" si="1"/>
        <v>2.7032876496897871E-2</v>
      </c>
      <c r="W10">
        <f t="shared" si="1"/>
        <v>2.7969659345800271E-2</v>
      </c>
      <c r="X10">
        <f t="shared" ref="X10:AO10" si="5">ABS(X57*(SIN(42*PI()/180)))</f>
        <v>2.50254846778213E-2</v>
      </c>
      <c r="Y10">
        <f t="shared" si="5"/>
        <v>2.5293136920364841E-2</v>
      </c>
      <c r="Z10">
        <f t="shared" si="5"/>
        <v>2.5694615284180156E-2</v>
      </c>
      <c r="AA10">
        <f t="shared" si="5"/>
        <v>3.3858008681758228E-2</v>
      </c>
      <c r="AB10">
        <f t="shared" si="5"/>
        <v>3.1649877680773993E-2</v>
      </c>
      <c r="AC10">
        <f t="shared" si="5"/>
        <v>3.5664661318927142E-2</v>
      </c>
      <c r="AD10">
        <f t="shared" si="5"/>
        <v>3.9612531896444411E-2</v>
      </c>
      <c r="AE10">
        <f t="shared" si="5"/>
        <v>3.9077227411357322E-2</v>
      </c>
      <c r="AF10">
        <f t="shared" si="5"/>
        <v>4.028166250280326E-2</v>
      </c>
      <c r="AG10">
        <f t="shared" si="5"/>
        <v>3.4527139288117084E-2</v>
      </c>
      <c r="AH10">
        <f t="shared" si="5"/>
        <v>4.2422880443151609E-2</v>
      </c>
      <c r="AI10">
        <f t="shared" si="5"/>
        <v>4.5902359596217669E-2</v>
      </c>
      <c r="AJ10">
        <f t="shared" si="5"/>
        <v>4.9114186506740203E-2</v>
      </c>
      <c r="AK10">
        <f t="shared" si="5"/>
        <v>4.5768533474945902E-2</v>
      </c>
      <c r="AL10">
        <f t="shared" si="5"/>
        <v>5.5069448903334033E-2</v>
      </c>
      <c r="AM10">
        <f t="shared" si="5"/>
        <v>5.1255404447088544E-2</v>
      </c>
      <c r="AN10">
        <f t="shared" si="5"/>
        <v>5.1255404447088544E-2</v>
      </c>
      <c r="AO10">
        <f t="shared" si="5"/>
        <v>7.1463148759126058E-2</v>
      </c>
    </row>
    <row r="11" spans="1:41" x14ac:dyDescent="0.25">
      <c r="A11" s="2">
        <f t="shared" si="0"/>
        <v>9</v>
      </c>
      <c r="B11">
        <v>12</v>
      </c>
      <c r="C11" s="3">
        <v>9</v>
      </c>
      <c r="D11">
        <v>0</v>
      </c>
      <c r="E11">
        <f t="shared" si="1"/>
        <v>2.4088701828918896E-3</v>
      </c>
      <c r="F11">
        <f t="shared" si="1"/>
        <v>3.3456530317942915E-4</v>
      </c>
      <c r="G11">
        <f t="shared" si="1"/>
        <v>1.4720873339894882E-3</v>
      </c>
      <c r="H11">
        <f t="shared" si="1"/>
        <v>9.9031329741111028E-3</v>
      </c>
      <c r="I11">
        <f t="shared" si="1"/>
        <v>1.4319394976079565E-2</v>
      </c>
      <c r="J11">
        <f t="shared" si="1"/>
        <v>9.1670893071163582E-3</v>
      </c>
      <c r="K11">
        <f t="shared" si="1"/>
        <v>1.7999613311053288E-2</v>
      </c>
      <c r="L11">
        <f t="shared" si="1"/>
        <v>1.6126047613248484E-2</v>
      </c>
      <c r="M11">
        <f t="shared" si="1"/>
        <v>1.6594439037699683E-2</v>
      </c>
      <c r="N11">
        <f t="shared" si="1"/>
        <v>1.2914220702725965E-2</v>
      </c>
      <c r="O11">
        <f t="shared" si="1"/>
        <v>1.7665048007873857E-2</v>
      </c>
      <c r="P11">
        <f t="shared" si="1"/>
        <v>1.5791482310069053E-2</v>
      </c>
      <c r="Q11">
        <f t="shared" si="1"/>
        <v>2.000700513012986E-2</v>
      </c>
      <c r="R11">
        <f t="shared" si="1"/>
        <v>2.1612918585391123E-2</v>
      </c>
      <c r="S11">
        <f t="shared" si="1"/>
        <v>2.1211440221575804E-2</v>
      </c>
      <c r="T11">
        <f t="shared" si="1"/>
        <v>2.4423267132098324E-2</v>
      </c>
      <c r="U11">
        <f t="shared" si="1"/>
        <v>2.6430658951174902E-2</v>
      </c>
      <c r="V11">
        <f t="shared" si="1"/>
        <v>2.944174667978976E-2</v>
      </c>
      <c r="W11">
        <f t="shared" si="1"/>
        <v>2.9776311982969188E-2</v>
      </c>
      <c r="X11">
        <f t="shared" ref="X11:AO11" si="6">ABS(X58*(SIN(42*PI()/180)))</f>
        <v>2.8036572406436162E-2</v>
      </c>
      <c r="Y11">
        <f t="shared" si="6"/>
        <v>2.7835833224528501E-2</v>
      </c>
      <c r="Z11">
        <f t="shared" si="6"/>
        <v>2.7367441800077302E-2</v>
      </c>
      <c r="AA11">
        <f t="shared" si="6"/>
        <v>3.4259487045573543E-2</v>
      </c>
      <c r="AB11">
        <f t="shared" si="6"/>
        <v>3.2118269105225195E-2</v>
      </c>
      <c r="AC11">
        <f t="shared" si="6"/>
        <v>3.5798487440198916E-2</v>
      </c>
      <c r="AD11">
        <f t="shared" si="6"/>
        <v>3.9612531896444411E-2</v>
      </c>
      <c r="AE11">
        <f t="shared" si="6"/>
        <v>3.8943401290085548E-2</v>
      </c>
      <c r="AF11">
        <f t="shared" si="6"/>
        <v>3.9612531896444411E-2</v>
      </c>
      <c r="AG11">
        <f t="shared" si="6"/>
        <v>3.3657269499850567E-2</v>
      </c>
      <c r="AH11">
        <f t="shared" si="6"/>
        <v>4.101770616979801E-2</v>
      </c>
      <c r="AI11">
        <f t="shared" si="6"/>
        <v>4.4965576747315272E-2</v>
      </c>
      <c r="AJ11">
        <f t="shared" si="6"/>
        <v>4.7909751415294251E-2</v>
      </c>
      <c r="AK11">
        <f t="shared" si="6"/>
        <v>4.4296446140956409E-2</v>
      </c>
      <c r="AL11">
        <f t="shared" si="6"/>
        <v>5.2526752599170369E-2</v>
      </c>
      <c r="AM11">
        <f t="shared" si="6"/>
        <v>4.8177403657837792E-2</v>
      </c>
      <c r="AN11">
        <f t="shared" si="6"/>
        <v>4.8177403657837792E-2</v>
      </c>
      <c r="AO11">
        <f t="shared" si="6"/>
        <v>6.5976277786983423E-2</v>
      </c>
    </row>
    <row r="12" spans="1:41" x14ac:dyDescent="0.25">
      <c r="A12" s="2">
        <f t="shared" si="0"/>
        <v>11</v>
      </c>
      <c r="B12">
        <v>14</v>
      </c>
      <c r="C12" s="3">
        <v>11</v>
      </c>
      <c r="D12">
        <v>0</v>
      </c>
      <c r="E12">
        <f t="shared" si="1"/>
        <v>4.8177403657837792E-3</v>
      </c>
      <c r="F12">
        <f t="shared" si="1"/>
        <v>9.3678284890240154E-4</v>
      </c>
      <c r="G12">
        <f t="shared" si="1"/>
        <v>2.7434354860713188E-3</v>
      </c>
      <c r="H12">
        <f t="shared" si="1"/>
        <v>9.3678284890240156E-3</v>
      </c>
      <c r="I12">
        <f t="shared" si="1"/>
        <v>1.4185568854807795E-2</v>
      </c>
      <c r="J12">
        <f t="shared" si="1"/>
        <v>9.2340023677522434E-3</v>
      </c>
      <c r="K12">
        <f t="shared" si="1"/>
        <v>1.7263569644058542E-2</v>
      </c>
      <c r="L12">
        <f t="shared" si="1"/>
        <v>1.5791482310069053E-2</v>
      </c>
      <c r="M12">
        <f t="shared" si="1"/>
        <v>1.6527525977063799E-2</v>
      </c>
      <c r="N12">
        <f t="shared" si="1"/>
        <v>1.331569906654128E-2</v>
      </c>
      <c r="O12">
        <f t="shared" si="1"/>
        <v>1.8468004735504487E-2</v>
      </c>
      <c r="P12">
        <f t="shared" si="1"/>
        <v>1.6192960673884368E-2</v>
      </c>
      <c r="Q12">
        <f t="shared" si="1"/>
        <v>1.9270961463135117E-2</v>
      </c>
      <c r="R12">
        <f t="shared" si="1"/>
        <v>2.1412179403483465E-2</v>
      </c>
      <c r="S12">
        <f t="shared" si="1"/>
        <v>2.0609222675852835E-2</v>
      </c>
      <c r="T12">
        <f t="shared" si="1"/>
        <v>2.3954875707647125E-2</v>
      </c>
      <c r="U12">
        <f t="shared" si="1"/>
        <v>2.515931079909307E-2</v>
      </c>
      <c r="V12">
        <f t="shared" si="1"/>
        <v>2.9241007497882106E-2</v>
      </c>
      <c r="W12">
        <f t="shared" si="1"/>
        <v>2.8839529134066788E-2</v>
      </c>
      <c r="X12">
        <f t="shared" ref="X12:AO12" si="7">ABS(X59*(SIN(42*PI()/180)))</f>
        <v>2.7300528739441419E-2</v>
      </c>
      <c r="Y12">
        <f t="shared" si="7"/>
        <v>2.7233615678805532E-2</v>
      </c>
      <c r="Z12">
        <f t="shared" si="7"/>
        <v>2.59622675267237E-2</v>
      </c>
      <c r="AA12">
        <f t="shared" si="7"/>
        <v>3.1315312377594565E-2</v>
      </c>
      <c r="AB12">
        <f t="shared" si="7"/>
        <v>2.9575572801061538E-2</v>
      </c>
      <c r="AC12">
        <f t="shared" si="7"/>
        <v>3.2921225832855824E-2</v>
      </c>
      <c r="AD12">
        <f t="shared" si="7"/>
        <v>3.6133052743378344E-2</v>
      </c>
      <c r="AE12">
        <f t="shared" si="7"/>
        <v>3.6066139682742464E-2</v>
      </c>
      <c r="AF12">
        <f t="shared" si="7"/>
        <v>3.6802183349737207E-2</v>
      </c>
      <c r="AG12">
        <f t="shared" si="7"/>
        <v>3.0780007892507479E-2</v>
      </c>
      <c r="AH12">
        <f t="shared" si="7"/>
        <v>3.760514007736783E-2</v>
      </c>
      <c r="AI12">
        <f t="shared" si="7"/>
        <v>4.1686836776156866E-2</v>
      </c>
      <c r="AJ12">
        <f t="shared" si="7"/>
        <v>4.4162620019684642E-2</v>
      </c>
      <c r="AK12">
        <f t="shared" si="7"/>
        <v>4.0883880048526236E-2</v>
      </c>
      <c r="AL12">
        <f t="shared" si="7"/>
        <v>4.8043577536566025E-2</v>
      </c>
      <c r="AM12">
        <f t="shared" si="7"/>
        <v>4.2222141261243955E-2</v>
      </c>
      <c r="AN12">
        <f t="shared" si="7"/>
        <v>4.2222141261243955E-2</v>
      </c>
      <c r="AO12">
        <f t="shared" si="7"/>
        <v>5.6943014601138833E-2</v>
      </c>
    </row>
    <row r="13" spans="1:41" x14ac:dyDescent="0.25">
      <c r="A13" s="2">
        <f t="shared" si="0"/>
        <v>13</v>
      </c>
      <c r="B13">
        <v>16</v>
      </c>
      <c r="C13" s="3">
        <v>13</v>
      </c>
      <c r="D13">
        <v>0</v>
      </c>
      <c r="E13">
        <f t="shared" si="1"/>
        <v>1.0170785216654646E-2</v>
      </c>
      <c r="F13">
        <f t="shared" si="1"/>
        <v>5.3530448508708663E-3</v>
      </c>
      <c r="G13">
        <f t="shared" si="1"/>
        <v>7.0927844274038974E-3</v>
      </c>
      <c r="H13">
        <f t="shared" si="1"/>
        <v>1.552383006752551E-2</v>
      </c>
      <c r="I13">
        <f t="shared" si="1"/>
        <v>1.8735656978048031E-2</v>
      </c>
      <c r="J13">
        <f t="shared" si="1"/>
        <v>1.3583351309084821E-2</v>
      </c>
      <c r="K13">
        <f t="shared" si="1"/>
        <v>2.1144527160939921E-2</v>
      </c>
      <c r="L13">
        <f t="shared" si="1"/>
        <v>1.9003309220591576E-2</v>
      </c>
      <c r="M13">
        <f t="shared" si="1"/>
        <v>2.0876874918396376E-2</v>
      </c>
      <c r="N13">
        <f t="shared" si="1"/>
        <v>1.8802570038683915E-2</v>
      </c>
      <c r="O13">
        <f t="shared" si="1"/>
        <v>2.3687223465103581E-2</v>
      </c>
      <c r="P13">
        <f t="shared" si="1"/>
        <v>2.1412179403483465E-2</v>
      </c>
      <c r="Q13">
        <f t="shared" si="1"/>
        <v>2.4490180192734211E-2</v>
      </c>
      <c r="R13">
        <f t="shared" si="1"/>
        <v>2.6363745890539012E-2</v>
      </c>
      <c r="S13">
        <f t="shared" si="1"/>
        <v>2.6096093647995471E-2</v>
      </c>
      <c r="T13">
        <f t="shared" si="1"/>
        <v>2.944174667978976E-2</v>
      </c>
      <c r="U13">
        <f t="shared" si="1"/>
        <v>2.9241007497882106E-2</v>
      </c>
      <c r="V13">
        <f t="shared" si="1"/>
        <v>3.3724182560486454E-2</v>
      </c>
      <c r="W13">
        <f t="shared" si="1"/>
        <v>3.2921225832855824E-2</v>
      </c>
      <c r="X13">
        <f t="shared" ref="X13:AO13" si="8">ABS(X60*(SIN(42*PI()/180)))</f>
        <v>3.2385921347768735E-2</v>
      </c>
      <c r="Y13">
        <f t="shared" si="8"/>
        <v>3.104766013505102E-2</v>
      </c>
      <c r="Z13">
        <f t="shared" si="8"/>
        <v>2.8638789952159131E-2</v>
      </c>
      <c r="AA13">
        <f t="shared" si="8"/>
        <v>3.2653573590312283E-2</v>
      </c>
      <c r="AB13">
        <f t="shared" si="8"/>
        <v>3.2519747469040509E-2</v>
      </c>
      <c r="AC13">
        <f t="shared" si="8"/>
        <v>3.5196269894475947E-2</v>
      </c>
      <c r="AD13">
        <f t="shared" si="8"/>
        <v>3.8876488229449661E-2</v>
      </c>
      <c r="AE13">
        <f t="shared" si="8"/>
        <v>4.0415488624075041E-2</v>
      </c>
      <c r="AF13">
        <f t="shared" si="8"/>
        <v>4.3025097988874585E-2</v>
      </c>
      <c r="AG13">
        <f t="shared" si="8"/>
        <v>3.7270574774188402E-2</v>
      </c>
      <c r="AH13">
        <f t="shared" si="8"/>
        <v>4.3894967777141101E-2</v>
      </c>
      <c r="AI13">
        <f t="shared" si="8"/>
        <v>4.8913447324832535E-2</v>
      </c>
      <c r="AJ13">
        <f t="shared" si="8"/>
        <v>5.2125274235355054E-2</v>
      </c>
      <c r="AK13">
        <f t="shared" si="8"/>
        <v>5.031862159818614E-2</v>
      </c>
      <c r="AL13">
        <f t="shared" si="8"/>
        <v>5.7277579904318261E-2</v>
      </c>
      <c r="AM13">
        <f t="shared" si="8"/>
        <v>5.5470927267149348E-2</v>
      </c>
      <c r="AN13">
        <f t="shared" si="8"/>
        <v>5.5470927267149348E-2</v>
      </c>
      <c r="AO13">
        <f t="shared" si="8"/>
        <v>6.7716017363516456E-2</v>
      </c>
    </row>
    <row r="14" spans="1:41" x14ac:dyDescent="0.25">
      <c r="A14" s="2">
        <f t="shared" si="0"/>
        <v>15</v>
      </c>
      <c r="B14">
        <v>18</v>
      </c>
      <c r="C14" s="3">
        <v>15</v>
      </c>
      <c r="D14">
        <v>0</v>
      </c>
      <c r="E14">
        <f t="shared" si="1"/>
        <v>2.6765224254354332E-3</v>
      </c>
      <c r="F14">
        <f t="shared" si="1"/>
        <v>4.6839142445120077E-4</v>
      </c>
      <c r="G14">
        <f t="shared" si="1"/>
        <v>1.9404787584406888E-3</v>
      </c>
      <c r="H14">
        <f t="shared" si="1"/>
        <v>1.2579655399546535E-2</v>
      </c>
      <c r="I14">
        <f t="shared" si="1"/>
        <v>1.2914220702725965E-2</v>
      </c>
      <c r="J14">
        <f t="shared" si="1"/>
        <v>7.9626542156704134E-3</v>
      </c>
      <c r="K14">
        <f t="shared" si="1"/>
        <v>1.4386308036715451E-2</v>
      </c>
      <c r="L14">
        <f t="shared" si="1"/>
        <v>1.1308307247464703E-2</v>
      </c>
      <c r="M14">
        <f t="shared" si="1"/>
        <v>1.4386308036715451E-2</v>
      </c>
      <c r="N14">
        <f t="shared" si="1"/>
        <v>1.2914220702725965E-2</v>
      </c>
      <c r="O14">
        <f t="shared" si="1"/>
        <v>1.8133439432325059E-2</v>
      </c>
      <c r="P14">
        <f t="shared" si="1"/>
        <v>1.552383006752551E-2</v>
      </c>
      <c r="Q14">
        <f t="shared" si="1"/>
        <v>1.7665048007873857E-2</v>
      </c>
      <c r="R14">
        <f t="shared" si="1"/>
        <v>2.014083125140163E-2</v>
      </c>
      <c r="S14">
        <f t="shared" si="1"/>
        <v>1.9538613705678661E-2</v>
      </c>
      <c r="T14">
        <f t="shared" si="1"/>
        <v>2.355339734383181E-2</v>
      </c>
      <c r="U14">
        <f t="shared" si="1"/>
        <v>2.2081310009842321E-2</v>
      </c>
      <c r="V14">
        <f t="shared" si="1"/>
        <v>2.6564485072446672E-2</v>
      </c>
      <c r="W14">
        <f t="shared" si="1"/>
        <v>2.5694615284180156E-2</v>
      </c>
      <c r="X14">
        <f t="shared" ref="X14:AO14" si="9">ABS(X61*(SIN(42*PI()/180)))</f>
        <v>2.6163006708631358E-2</v>
      </c>
      <c r="Y14">
        <f t="shared" si="9"/>
        <v>2.4088701828918896E-2</v>
      </c>
      <c r="Z14">
        <f t="shared" si="9"/>
        <v>2.1612918585391123E-2</v>
      </c>
      <c r="AA14">
        <f t="shared" si="9"/>
        <v>2.435635407146244E-2</v>
      </c>
      <c r="AB14">
        <f t="shared" si="9"/>
        <v>2.6631398133082559E-2</v>
      </c>
      <c r="AC14">
        <f t="shared" si="9"/>
        <v>2.8237311588343819E-2</v>
      </c>
      <c r="AD14">
        <f t="shared" si="9"/>
        <v>3.3590356439214687E-2</v>
      </c>
      <c r="AE14">
        <f t="shared" si="9"/>
        <v>3.6266878864650118E-2</v>
      </c>
      <c r="AF14">
        <f t="shared" si="9"/>
        <v>4.1887575958064527E-2</v>
      </c>
      <c r="AG14">
        <f t="shared" si="9"/>
        <v>3.6400704985921885E-2</v>
      </c>
      <c r="AH14">
        <f t="shared" si="9"/>
        <v>4.3092011049510472E-2</v>
      </c>
      <c r="AI14">
        <f t="shared" si="9"/>
        <v>4.9850230173734938E-2</v>
      </c>
      <c r="AJ14">
        <f t="shared" si="9"/>
        <v>5.4601057478882838E-2</v>
      </c>
      <c r="AK14">
        <f t="shared" si="9"/>
        <v>5.5069448903334033E-2</v>
      </c>
      <c r="AL14">
        <f t="shared" si="9"/>
        <v>6.1827668027558499E-2</v>
      </c>
      <c r="AM14">
        <f t="shared" si="9"/>
        <v>6.7448365120972908E-2</v>
      </c>
      <c r="AN14">
        <f t="shared" si="9"/>
        <v>6.7448365120972908E-2</v>
      </c>
      <c r="AO14">
        <f t="shared" si="9"/>
        <v>7.5143367094099772E-2</v>
      </c>
    </row>
    <row r="15" spans="1:41" x14ac:dyDescent="0.25">
      <c r="A15" s="2">
        <f t="shared" si="0"/>
        <v>17</v>
      </c>
      <c r="B15">
        <v>20</v>
      </c>
      <c r="C15" s="3">
        <v>17</v>
      </c>
      <c r="D15">
        <v>0</v>
      </c>
      <c r="E15">
        <f t="shared" si="1"/>
        <v>6.022175457229724E-3</v>
      </c>
      <c r="F15">
        <f t="shared" si="1"/>
        <v>8.0295672763062986E-3</v>
      </c>
      <c r="G15">
        <f t="shared" si="1"/>
        <v>4.8846534264196653E-3</v>
      </c>
      <c r="H15">
        <f t="shared" si="1"/>
        <v>5.2192187295990941E-3</v>
      </c>
      <c r="I15">
        <f t="shared" si="1"/>
        <v>4.3493489413325781E-3</v>
      </c>
      <c r="J15">
        <f t="shared" si="1"/>
        <v>1.5390003946253738E-3</v>
      </c>
      <c r="K15">
        <f t="shared" si="1"/>
        <v>5.2192187295990941E-3</v>
      </c>
      <c r="L15">
        <f t="shared" si="1"/>
        <v>2.5426963041636614E-3</v>
      </c>
      <c r="M15">
        <f t="shared" si="1"/>
        <v>6.022175457229724E-3</v>
      </c>
      <c r="N15">
        <f t="shared" si="1"/>
        <v>3.5463922137019487E-3</v>
      </c>
      <c r="O15">
        <f t="shared" si="1"/>
        <v>8.4979587007574988E-3</v>
      </c>
      <c r="P15">
        <f t="shared" si="1"/>
        <v>6.2898276997732675E-3</v>
      </c>
      <c r="Q15">
        <f t="shared" si="1"/>
        <v>8.8325240039369285E-3</v>
      </c>
      <c r="R15">
        <f t="shared" si="1"/>
        <v>1.0839915823013503E-2</v>
      </c>
      <c r="S15">
        <f t="shared" si="1"/>
        <v>1.0773002762377618E-2</v>
      </c>
      <c r="T15">
        <f t="shared" si="1"/>
        <v>1.3516438248448935E-2</v>
      </c>
      <c r="U15">
        <f t="shared" si="1"/>
        <v>1.2044350914459448E-2</v>
      </c>
      <c r="V15">
        <f t="shared" si="1"/>
        <v>1.5657656188797282E-2</v>
      </c>
      <c r="W15">
        <f t="shared" si="1"/>
        <v>1.4988525582438425E-2</v>
      </c>
      <c r="X15">
        <f t="shared" ref="X15:AO15" si="10">ABS(X62*(SIN(42*PI()/180)))</f>
        <v>1.5925308431340827E-2</v>
      </c>
      <c r="Y15">
        <f t="shared" si="10"/>
        <v>1.4051742733536024E-2</v>
      </c>
      <c r="Z15">
        <f t="shared" si="10"/>
        <v>1.1174481126192933E-2</v>
      </c>
      <c r="AA15">
        <f t="shared" si="10"/>
        <v>1.391791661226425E-2</v>
      </c>
      <c r="AB15">
        <f t="shared" si="10"/>
        <v>1.5791482310069053E-2</v>
      </c>
      <c r="AC15">
        <f t="shared" si="10"/>
        <v>1.7263569644058542E-2</v>
      </c>
      <c r="AD15">
        <f t="shared" si="10"/>
        <v>2.3687223465103581E-2</v>
      </c>
      <c r="AE15">
        <f t="shared" si="10"/>
        <v>2.6363745890539012E-2</v>
      </c>
      <c r="AF15">
        <f t="shared" si="10"/>
        <v>3.2519747469040509E-2</v>
      </c>
      <c r="AG15">
        <f t="shared" si="10"/>
        <v>2.7768920163892617E-2</v>
      </c>
      <c r="AH15">
        <f t="shared" si="10"/>
        <v>3.3791095621122341E-2</v>
      </c>
      <c r="AI15">
        <f t="shared" si="10"/>
        <v>4.0616227805982695E-2</v>
      </c>
      <c r="AJ15">
        <f t="shared" si="10"/>
        <v>4.4831750626043505E-2</v>
      </c>
      <c r="AK15">
        <f t="shared" si="10"/>
        <v>4.690605550575596E-2</v>
      </c>
      <c r="AL15">
        <f t="shared" si="10"/>
        <v>5.2861317902349804E-2</v>
      </c>
      <c r="AM15">
        <f t="shared" si="10"/>
        <v>6.2563711694553242E-2</v>
      </c>
      <c r="AN15">
        <f t="shared" si="10"/>
        <v>6.2563711694553242E-2</v>
      </c>
      <c r="AO15">
        <f t="shared" si="10"/>
        <v>6.6511582272070505E-2</v>
      </c>
    </row>
    <row r="16" spans="1:41" x14ac:dyDescent="0.25">
      <c r="A16" s="2">
        <f t="shared" si="0"/>
        <v>19</v>
      </c>
      <c r="B16">
        <v>22</v>
      </c>
      <c r="C16" s="3">
        <v>19</v>
      </c>
      <c r="D16">
        <v>0</v>
      </c>
      <c r="E16">
        <f t="shared" si="1"/>
        <v>1.7397395765330313E-3</v>
      </c>
      <c r="F16">
        <f t="shared" si="1"/>
        <v>4.7508273051478939E-3</v>
      </c>
      <c r="G16">
        <f t="shared" si="1"/>
        <v>8.6986978826651565E-4</v>
      </c>
      <c r="H16">
        <f t="shared" si="1"/>
        <v>5.8883493359579526E-3</v>
      </c>
      <c r="I16">
        <f t="shared" si="1"/>
        <v>5.4868709721426377E-3</v>
      </c>
      <c r="J16">
        <f t="shared" si="1"/>
        <v>4.0147836381531493E-3</v>
      </c>
      <c r="K16">
        <f t="shared" si="1"/>
        <v>7.0927844274038974E-3</v>
      </c>
      <c r="L16">
        <f t="shared" si="1"/>
        <v>5.0853926083273228E-3</v>
      </c>
      <c r="M16">
        <f t="shared" si="1"/>
        <v>7.8957411550345264E-3</v>
      </c>
      <c r="N16">
        <f t="shared" si="1"/>
        <v>5.9552623965938379E-3</v>
      </c>
      <c r="O16">
        <f t="shared" si="1"/>
        <v>1.0170785216654646E-2</v>
      </c>
      <c r="P16">
        <f t="shared" si="1"/>
        <v>8.0964803369421839E-3</v>
      </c>
      <c r="Q16">
        <f t="shared" si="1"/>
        <v>1.0304611337926418E-2</v>
      </c>
      <c r="R16">
        <f t="shared" si="1"/>
        <v>1.251274233891065E-2</v>
      </c>
      <c r="S16">
        <f t="shared" si="1"/>
        <v>1.1642872550644133E-2</v>
      </c>
      <c r="T16">
        <f t="shared" si="1"/>
        <v>1.411865579417191E-2</v>
      </c>
      <c r="U16">
        <f t="shared" si="1"/>
        <v>1.3382612127177165E-2</v>
      </c>
      <c r="V16">
        <f t="shared" si="1"/>
        <v>1.5925308431340827E-2</v>
      </c>
      <c r="W16">
        <f t="shared" si="1"/>
        <v>1.4921612521802539E-2</v>
      </c>
      <c r="X16">
        <f t="shared" ref="X16:AO16" si="11">ABS(X63*(SIN(42*PI()/180)))</f>
        <v>1.6059134552612597E-2</v>
      </c>
      <c r="Y16">
        <f t="shared" si="11"/>
        <v>1.539000394625374E-2</v>
      </c>
      <c r="Z16">
        <f t="shared" si="11"/>
        <v>1.2780394581454191E-2</v>
      </c>
      <c r="AA16">
        <f t="shared" si="11"/>
        <v>1.458704721862311E-2</v>
      </c>
      <c r="AB16">
        <f t="shared" si="11"/>
        <v>1.6326786795156142E-2</v>
      </c>
      <c r="AC16">
        <f t="shared" si="11"/>
        <v>1.7196656583422659E-2</v>
      </c>
      <c r="AD16">
        <f t="shared" si="11"/>
        <v>2.2750440616201181E-2</v>
      </c>
      <c r="AE16">
        <f t="shared" si="11"/>
        <v>2.50254846778213E-2</v>
      </c>
      <c r="AF16">
        <f t="shared" si="11"/>
        <v>2.9241007497882106E-2</v>
      </c>
      <c r="AG16">
        <f t="shared" si="11"/>
        <v>2.59622675267237E-2</v>
      </c>
      <c r="AH16">
        <f t="shared" si="11"/>
        <v>3.0378529528692164E-2</v>
      </c>
      <c r="AI16">
        <f t="shared" si="11"/>
        <v>3.5664661318927142E-2</v>
      </c>
      <c r="AJ16">
        <f t="shared" si="11"/>
        <v>3.9010314350721435E-2</v>
      </c>
      <c r="AK16">
        <f t="shared" si="11"/>
        <v>4.0616227805982695E-2</v>
      </c>
      <c r="AL16">
        <f t="shared" si="11"/>
        <v>4.5099402868587046E-2</v>
      </c>
      <c r="AM16">
        <f t="shared" si="11"/>
        <v>5.2526752599170369E-2</v>
      </c>
      <c r="AN16">
        <f t="shared" si="11"/>
        <v>5.2526752599170369E-2</v>
      </c>
      <c r="AO16">
        <f t="shared" si="11"/>
        <v>5.7344492964954148E-2</v>
      </c>
    </row>
    <row r="17" spans="1:41" x14ac:dyDescent="0.25">
      <c r="A17" s="2">
        <f t="shared" si="0"/>
        <v>21</v>
      </c>
      <c r="B17">
        <v>24</v>
      </c>
      <c r="C17" s="3">
        <v>21</v>
      </c>
      <c r="D17">
        <v>0</v>
      </c>
      <c r="E17">
        <f t="shared" si="1"/>
        <v>2.4757832435277757E-3</v>
      </c>
      <c r="F17">
        <f t="shared" si="1"/>
        <v>5.2192187295990941E-3</v>
      </c>
      <c r="G17">
        <f t="shared" si="1"/>
        <v>1.4720873339894882E-3</v>
      </c>
      <c r="H17">
        <f t="shared" si="1"/>
        <v>1.2044350914459448E-3</v>
      </c>
      <c r="I17">
        <f t="shared" si="1"/>
        <v>3.0780007892507477E-3</v>
      </c>
      <c r="J17">
        <f t="shared" si="1"/>
        <v>1.5390003946253738E-3</v>
      </c>
      <c r="K17">
        <f t="shared" si="1"/>
        <v>4.6839142445120078E-3</v>
      </c>
      <c r="L17">
        <f t="shared" si="1"/>
        <v>4.4831750626043504E-3</v>
      </c>
      <c r="M17">
        <f t="shared" si="1"/>
        <v>6.4236538210450389E-3</v>
      </c>
      <c r="N17">
        <f t="shared" si="1"/>
        <v>4.3493489413325781E-3</v>
      </c>
      <c r="O17">
        <f t="shared" si="1"/>
        <v>8.0295672763062986E-3</v>
      </c>
      <c r="P17">
        <f t="shared" si="1"/>
        <v>6.1560015785014953E-3</v>
      </c>
      <c r="Q17">
        <f t="shared" si="1"/>
        <v>7.6950019731268698E-3</v>
      </c>
      <c r="R17">
        <f t="shared" si="1"/>
        <v>9.7023937922034453E-3</v>
      </c>
      <c r="S17">
        <f t="shared" si="1"/>
        <v>8.4310456401216136E-3</v>
      </c>
      <c r="T17">
        <f t="shared" si="1"/>
        <v>9.7023937922034453E-3</v>
      </c>
      <c r="U17">
        <f t="shared" si="1"/>
        <v>9.970046034746988E-3</v>
      </c>
      <c r="V17">
        <f t="shared" si="1"/>
        <v>1.2378916217638878E-2</v>
      </c>
      <c r="W17">
        <f t="shared" si="1"/>
        <v>1.0839915823013503E-2</v>
      </c>
      <c r="X17">
        <f t="shared" ref="X17:AO17" si="12">ABS(X64*(SIN(42*PI()/180)))</f>
        <v>1.1107568065557048E-2</v>
      </c>
      <c r="Y17">
        <f t="shared" si="12"/>
        <v>1.2044350914459448E-2</v>
      </c>
      <c r="Z17">
        <f t="shared" si="12"/>
        <v>9.1670893071163582E-3</v>
      </c>
      <c r="AA17">
        <f t="shared" si="12"/>
        <v>1.1308307247464703E-2</v>
      </c>
      <c r="AB17">
        <f t="shared" si="12"/>
        <v>1.137522030810059E-2</v>
      </c>
      <c r="AC17">
        <f t="shared" si="12"/>
        <v>1.1910524793187676E-2</v>
      </c>
      <c r="AD17">
        <f t="shared" si="12"/>
        <v>1.539000394625374E-2</v>
      </c>
      <c r="AE17">
        <f t="shared" si="12"/>
        <v>1.6527525977063799E-2</v>
      </c>
      <c r="AF17">
        <f t="shared" si="12"/>
        <v>1.8936396159955689E-2</v>
      </c>
      <c r="AG17">
        <f t="shared" si="12"/>
        <v>1.5657656188797282E-2</v>
      </c>
      <c r="AH17">
        <f t="shared" si="12"/>
        <v>1.9270961463135117E-2</v>
      </c>
      <c r="AI17">
        <f t="shared" si="12"/>
        <v>2.2415875313021753E-2</v>
      </c>
      <c r="AJ17">
        <f t="shared" si="12"/>
        <v>2.4021788768283012E-2</v>
      </c>
      <c r="AK17">
        <f t="shared" si="12"/>
        <v>2.3352658161924153E-2</v>
      </c>
      <c r="AL17">
        <f t="shared" si="12"/>
        <v>2.6029180587359584E-2</v>
      </c>
      <c r="AM17">
        <f t="shared" si="12"/>
        <v>2.6096093647995471E-2</v>
      </c>
      <c r="AN17">
        <f t="shared" si="12"/>
        <v>2.6096093647995471E-2</v>
      </c>
      <c r="AO17">
        <f t="shared" si="12"/>
        <v>3.5263182955111827E-2</v>
      </c>
    </row>
    <row r="18" spans="1:41" x14ac:dyDescent="0.25">
      <c r="A18" s="2">
        <f t="shared" si="0"/>
        <v>23</v>
      </c>
      <c r="B18">
        <v>26</v>
      </c>
      <c r="C18" s="3">
        <v>23</v>
      </c>
      <c r="D18">
        <v>0</v>
      </c>
      <c r="E18">
        <f t="shared" si="1"/>
        <v>4.0147836381531493E-3</v>
      </c>
      <c r="F18">
        <f t="shared" si="1"/>
        <v>5.0853926083273228E-3</v>
      </c>
      <c r="G18">
        <f t="shared" si="1"/>
        <v>3.2118269105225195E-3</v>
      </c>
      <c r="H18">
        <f t="shared" si="1"/>
        <v>8.6986978826651565E-4</v>
      </c>
      <c r="I18">
        <f t="shared" si="1"/>
        <v>4.6839142445120077E-4</v>
      </c>
      <c r="J18">
        <f t="shared" si="1"/>
        <v>1.7397395765330313E-3</v>
      </c>
      <c r="K18">
        <f t="shared" si="1"/>
        <v>1.1375220308100589E-3</v>
      </c>
      <c r="L18">
        <f t="shared" si="1"/>
        <v>7.3604366699474408E-4</v>
      </c>
      <c r="M18">
        <f t="shared" si="1"/>
        <v>2.3419571222560039E-3</v>
      </c>
      <c r="N18">
        <f t="shared" si="1"/>
        <v>1.0706089701741732E-3</v>
      </c>
      <c r="O18">
        <f t="shared" si="1"/>
        <v>3.2787399711584051E-3</v>
      </c>
      <c r="P18">
        <f t="shared" si="1"/>
        <v>1.8735656978048031E-3</v>
      </c>
      <c r="Q18">
        <f t="shared" si="1"/>
        <v>3.2118269105225195E-3</v>
      </c>
      <c r="R18">
        <f t="shared" si="1"/>
        <v>5.1523056689632089E-3</v>
      </c>
      <c r="S18">
        <f t="shared" si="1"/>
        <v>3.7471313956096062E-3</v>
      </c>
      <c r="T18">
        <f t="shared" si="1"/>
        <v>4.4831750626043504E-3</v>
      </c>
      <c r="U18">
        <f t="shared" si="1"/>
        <v>4.5500881232402356E-3</v>
      </c>
      <c r="V18">
        <f t="shared" si="1"/>
        <v>6.8251321848603547E-3</v>
      </c>
      <c r="W18">
        <f t="shared" si="1"/>
        <v>5.4868709721426377E-3</v>
      </c>
      <c r="X18">
        <f t="shared" ref="X18:AO18" si="13">ABS(X65*(SIN(42*PI()/180)))</f>
        <v>5.5537840327785238E-3</v>
      </c>
      <c r="Y18">
        <f t="shared" si="13"/>
        <v>6.2898276997732675E-3</v>
      </c>
      <c r="Z18">
        <f t="shared" si="13"/>
        <v>3.8809575168813775E-3</v>
      </c>
      <c r="AA18">
        <f t="shared" si="13"/>
        <v>4.8846534264196653E-3</v>
      </c>
      <c r="AB18">
        <f t="shared" si="13"/>
        <v>4.4831750626043504E-3</v>
      </c>
      <c r="AC18">
        <f t="shared" si="13"/>
        <v>5.2192187295990941E-3</v>
      </c>
      <c r="AD18">
        <f t="shared" si="13"/>
        <v>7.2266105486756696E-3</v>
      </c>
      <c r="AE18">
        <f t="shared" si="13"/>
        <v>8.0295672763062986E-3</v>
      </c>
      <c r="AF18">
        <f t="shared" si="13"/>
        <v>1.0170785216654646E-2</v>
      </c>
      <c r="AG18">
        <f t="shared" si="13"/>
        <v>7.8957411550345264E-3</v>
      </c>
      <c r="AH18">
        <f t="shared" si="13"/>
        <v>1.0706089701741733E-2</v>
      </c>
      <c r="AI18">
        <f t="shared" si="13"/>
        <v>1.3650264369720709E-2</v>
      </c>
      <c r="AJ18">
        <f t="shared" si="13"/>
        <v>1.4854699461166654E-2</v>
      </c>
      <c r="AK18">
        <f t="shared" si="13"/>
        <v>1.539000394625374E-2</v>
      </c>
      <c r="AL18">
        <f t="shared" si="13"/>
        <v>1.7129743522786772E-2</v>
      </c>
      <c r="AM18">
        <f t="shared" si="13"/>
        <v>1.8869483099319802E-2</v>
      </c>
      <c r="AN18">
        <f t="shared" si="13"/>
        <v>1.8869483099319802E-2</v>
      </c>
      <c r="AO18">
        <f t="shared" si="13"/>
        <v>2.4088701828918896E-2</v>
      </c>
    </row>
    <row r="19" spans="1:41" x14ac:dyDescent="0.25">
      <c r="A19" s="2">
        <f t="shared" si="0"/>
        <v>25</v>
      </c>
      <c r="B19">
        <v>28</v>
      </c>
      <c r="C19" s="3">
        <v>25</v>
      </c>
      <c r="D19">
        <v>0</v>
      </c>
      <c r="E19">
        <f t="shared" si="1"/>
        <v>4.8846534264196653E-3</v>
      </c>
      <c r="F19">
        <f t="shared" si="1"/>
        <v>5.5537840327785238E-3</v>
      </c>
      <c r="G19">
        <f t="shared" si="1"/>
        <v>4.7508273051478939E-3</v>
      </c>
      <c r="H19">
        <f t="shared" si="1"/>
        <v>3.8809575168813775E-3</v>
      </c>
      <c r="I19">
        <f t="shared" si="1"/>
        <v>4.0816966987890354E-3</v>
      </c>
      <c r="J19">
        <f t="shared" si="1"/>
        <v>4.7508273051478939E-3</v>
      </c>
      <c r="K19">
        <f t="shared" si="1"/>
        <v>2.4088701828918896E-3</v>
      </c>
      <c r="L19">
        <f t="shared" si="1"/>
        <v>3.1449138498866338E-3</v>
      </c>
      <c r="M19">
        <f t="shared" si="1"/>
        <v>1.7397395765330313E-3</v>
      </c>
      <c r="N19">
        <f t="shared" si="1"/>
        <v>2.8103485467072045E-3</v>
      </c>
      <c r="O19">
        <f t="shared" si="1"/>
        <v>1.3382612127177166E-3</v>
      </c>
      <c r="P19">
        <f t="shared" si="1"/>
        <v>2.2750440616201178E-3</v>
      </c>
      <c r="Q19">
        <f t="shared" si="1"/>
        <v>1.1375220308100589E-3</v>
      </c>
      <c r="R19">
        <f t="shared" si="1"/>
        <v>3.3456530317942915E-4</v>
      </c>
      <c r="S19">
        <f t="shared" si="1"/>
        <v>1.5390003946253738E-3</v>
      </c>
      <c r="T19">
        <f t="shared" si="1"/>
        <v>8.0295672763062986E-4</v>
      </c>
      <c r="U19">
        <f t="shared" si="1"/>
        <v>9.3678284890240154E-4</v>
      </c>
      <c r="V19">
        <f t="shared" si="1"/>
        <v>1.0706089701741732E-3</v>
      </c>
      <c r="W19">
        <v>5.4869999999999997E-3</v>
      </c>
      <c r="X19">
        <f t="shared" ref="X19:AO19" si="14">ABS(X66*(SIN(42*PI()/180)))</f>
        <v>6.6913060635885826E-5</v>
      </c>
      <c r="Y19">
        <f t="shared" si="14"/>
        <v>6.6913060635885826E-5</v>
      </c>
      <c r="Z19">
        <f t="shared" si="14"/>
        <v>1.6059134552612597E-3</v>
      </c>
      <c r="AA19">
        <f t="shared" si="14"/>
        <v>1.2044350914459448E-3</v>
      </c>
      <c r="AB19">
        <f t="shared" si="14"/>
        <v>1.8735656978048031E-3</v>
      </c>
      <c r="AC19">
        <f t="shared" si="14"/>
        <v>1.2713481520818307E-3</v>
      </c>
      <c r="AD19">
        <f t="shared" si="14"/>
        <v>5.3530448508708661E-4</v>
      </c>
      <c r="AE19">
        <f t="shared" si="14"/>
        <v>4.6839142445120077E-4</v>
      </c>
      <c r="AF19">
        <f t="shared" si="14"/>
        <v>4.6839142445120077E-4</v>
      </c>
      <c r="AG19">
        <f t="shared" si="14"/>
        <v>1.1375220308100589E-3</v>
      </c>
      <c r="AH19">
        <f t="shared" si="14"/>
        <v>3.3456530317942915E-4</v>
      </c>
      <c r="AI19">
        <f t="shared" si="14"/>
        <v>2.4757832435277757E-3</v>
      </c>
      <c r="AJ19">
        <f t="shared" si="14"/>
        <v>3.0780007892507477E-3</v>
      </c>
      <c r="AK19">
        <f t="shared" si="14"/>
        <v>2.9441746679789763E-3</v>
      </c>
      <c r="AL19">
        <f t="shared" si="14"/>
        <v>3.3456530317942912E-3</v>
      </c>
      <c r="AM19">
        <f t="shared" si="14"/>
        <v>4.0816966987890354E-3</v>
      </c>
      <c r="AN19">
        <f t="shared" si="14"/>
        <v>4.0816966987890354E-3</v>
      </c>
      <c r="AO19">
        <f t="shared" si="14"/>
        <v>6.022175457229724E-3</v>
      </c>
    </row>
    <row r="20" spans="1:41" x14ac:dyDescent="0.25">
      <c r="A20" s="2">
        <f t="shared" si="0"/>
        <v>27</v>
      </c>
      <c r="B20">
        <v>30</v>
      </c>
      <c r="C20" s="3">
        <v>27</v>
      </c>
      <c r="D20">
        <v>0</v>
      </c>
      <c r="E20">
        <f t="shared" si="1"/>
        <v>2.7434354860713188E-3</v>
      </c>
      <c r="F20">
        <f t="shared" si="1"/>
        <v>1.5390003946253738E-3</v>
      </c>
      <c r="G20">
        <f t="shared" si="1"/>
        <v>1.6059134552612597E-3</v>
      </c>
      <c r="H20">
        <f t="shared" si="1"/>
        <v>8.0295672763062986E-4</v>
      </c>
      <c r="I20">
        <f t="shared" si="1"/>
        <v>1.3382612127177166E-3</v>
      </c>
      <c r="J20">
        <f t="shared" si="1"/>
        <v>1.6059134552612597E-3</v>
      </c>
      <c r="K20">
        <f t="shared" si="1"/>
        <v>2.6765224254354331E-4</v>
      </c>
      <c r="L20">
        <f t="shared" si="1"/>
        <v>8.6986978826651565E-4</v>
      </c>
      <c r="M20">
        <f t="shared" ref="M20:AB22" si="15">ABS(M67*(SIN(42*PI()/180)))</f>
        <v>1.3382612127177165E-4</v>
      </c>
      <c r="N20">
        <f t="shared" si="15"/>
        <v>3.3456530317942915E-4</v>
      </c>
      <c r="O20">
        <f t="shared" si="15"/>
        <v>6.6913060635885826E-5</v>
      </c>
      <c r="P20">
        <f t="shared" si="15"/>
        <v>1.3382612127177165E-4</v>
      </c>
      <c r="Q20">
        <f t="shared" si="15"/>
        <v>2.6765224254354331E-4</v>
      </c>
      <c r="R20">
        <f t="shared" si="15"/>
        <v>4.6839142445120077E-4</v>
      </c>
      <c r="S20">
        <f t="shared" si="15"/>
        <v>1.5390003946253738E-3</v>
      </c>
      <c r="T20">
        <f t="shared" si="15"/>
        <v>2.6765224254354331E-4</v>
      </c>
      <c r="U20">
        <f t="shared" si="15"/>
        <v>6.6913060635885826E-5</v>
      </c>
      <c r="V20">
        <f t="shared" si="15"/>
        <v>1.2044350914459448E-3</v>
      </c>
      <c r="W20">
        <f t="shared" si="15"/>
        <v>8.0295672763062986E-4</v>
      </c>
      <c r="X20">
        <f t="shared" si="15"/>
        <v>4.6839142445120077E-4</v>
      </c>
      <c r="Y20">
        <f t="shared" si="15"/>
        <v>7.3604366699474408E-4</v>
      </c>
      <c r="Z20">
        <f t="shared" si="15"/>
        <v>1.3382612127177165E-4</v>
      </c>
      <c r="AA20">
        <f t="shared" si="15"/>
        <v>5.3530448508708661E-4</v>
      </c>
      <c r="AB20">
        <f t="shared" si="15"/>
        <v>1.3382612127177165E-4</v>
      </c>
      <c r="AC20">
        <f t="shared" ref="AC20:AO20" si="16">ABS(AC67*(SIN(42*PI()/180)))</f>
        <v>3.3456530317942915E-4</v>
      </c>
      <c r="AD20">
        <f t="shared" si="16"/>
        <v>3.3456530317942915E-4</v>
      </c>
      <c r="AE20">
        <f t="shared" si="16"/>
        <v>8.0295672763062986E-4</v>
      </c>
      <c r="AF20">
        <f t="shared" si="16"/>
        <v>1.2044350914459448E-3</v>
      </c>
      <c r="AG20">
        <f t="shared" si="16"/>
        <v>3.3456530317942915E-4</v>
      </c>
      <c r="AH20">
        <f t="shared" si="16"/>
        <v>1.1375220308100589E-3</v>
      </c>
      <c r="AI20">
        <f t="shared" si="16"/>
        <v>1.8735656978048031E-3</v>
      </c>
      <c r="AJ20">
        <f t="shared" si="16"/>
        <v>2.0073918190765747E-3</v>
      </c>
      <c r="AK20">
        <f t="shared" si="16"/>
        <v>2.0073918190765747E-3</v>
      </c>
      <c r="AL20">
        <f t="shared" si="16"/>
        <v>2.0743048797124603E-3</v>
      </c>
      <c r="AM20">
        <f t="shared" si="16"/>
        <v>1.3382612127177165E-4</v>
      </c>
      <c r="AN20">
        <f t="shared" si="16"/>
        <v>1.3382612127177165E-4</v>
      </c>
      <c r="AO20">
        <f t="shared" si="16"/>
        <v>3.1449138498866338E-3</v>
      </c>
    </row>
    <row r="21" spans="1:41" x14ac:dyDescent="0.25">
      <c r="A21" s="2"/>
      <c r="C21" s="3"/>
      <c r="D21">
        <f t="shared" ref="D21:E21" si="17">AVERAGE(D6:D20)</f>
        <v>0</v>
      </c>
      <c r="E21">
        <f t="shared" si="17"/>
        <v>3.9287525601927244E-3</v>
      </c>
      <c r="F21">
        <f>AVERAGE(F6:F20)</f>
        <v>3.4985971703906014E-3</v>
      </c>
      <c r="G21">
        <f t="shared" ref="G21:S21" si="18">AVERAGE(G6:G20)</f>
        <v>3.3695505534499645E-3</v>
      </c>
      <c r="H21">
        <f t="shared" si="18"/>
        <v>8.1203778585978593E-3</v>
      </c>
      <c r="I21">
        <f t="shared" si="18"/>
        <v>1.0801679788364426E-2</v>
      </c>
      <c r="J21">
        <f t="shared" si="18"/>
        <v>7.6567659384777914E-3</v>
      </c>
      <c r="K21">
        <f t="shared" si="18"/>
        <v>1.2919000207057099E-2</v>
      </c>
      <c r="L21">
        <f t="shared" si="18"/>
        <v>1.2139941001082141E-2</v>
      </c>
      <c r="M21">
        <f t="shared" si="18"/>
        <v>1.3932255125257654E-2</v>
      </c>
      <c r="N21">
        <f t="shared" si="18"/>
        <v>1.1466030890392147E-2</v>
      </c>
      <c r="O21">
        <f t="shared" si="18"/>
        <v>1.5786702805737921E-2</v>
      </c>
      <c r="P21">
        <f t="shared" si="18"/>
        <v>1.4381528532384318E-2</v>
      </c>
      <c r="Q21">
        <f t="shared" si="18"/>
        <v>1.7550339903926626E-2</v>
      </c>
      <c r="R21">
        <f t="shared" si="18"/>
        <v>1.9089340298551999E-2</v>
      </c>
      <c r="S21">
        <f t="shared" si="18"/>
        <v>1.8745215986710303E-2</v>
      </c>
      <c r="W21">
        <f t="shared" si="15"/>
        <v>0</v>
      </c>
      <c r="AF21">
        <f t="shared" ref="AF21:AG21" si="19">ABS(AF68*(SIN(42*PI()/180)))</f>
        <v>0</v>
      </c>
      <c r="AG21">
        <f t="shared" si="19"/>
        <v>0</v>
      </c>
    </row>
    <row r="22" spans="1:41" x14ac:dyDescent="0.25">
      <c r="A22" s="2"/>
      <c r="C22" s="3"/>
      <c r="D22" s="4">
        <f>D21*-1</f>
        <v>0</v>
      </c>
      <c r="E22" s="4">
        <f t="shared" ref="E22:L22" si="20">E21*-1</f>
        <v>-3.9287525601927244E-3</v>
      </c>
      <c r="F22" s="4">
        <f t="shared" si="20"/>
        <v>-3.4985971703906014E-3</v>
      </c>
      <c r="G22" s="4">
        <f t="shared" si="20"/>
        <v>-3.3695505534499645E-3</v>
      </c>
      <c r="H22" s="4">
        <v>3.9269999999999999E-3</v>
      </c>
      <c r="I22" s="4">
        <f t="shared" si="20"/>
        <v>-1.0801679788364426E-2</v>
      </c>
      <c r="J22" s="4">
        <f t="shared" si="20"/>
        <v>-7.6567659384777914E-3</v>
      </c>
      <c r="K22" s="4">
        <f t="shared" si="20"/>
        <v>-1.2919000207057099E-2</v>
      </c>
      <c r="L22" s="4">
        <f t="shared" si="20"/>
        <v>-1.2139941001082141E-2</v>
      </c>
      <c r="M22" s="4">
        <f>M21*-1</f>
        <v>-1.3932255125257654E-2</v>
      </c>
      <c r="N22" s="4">
        <f t="shared" ref="N22:S22" si="21">N21*-1</f>
        <v>-1.1466030890392147E-2</v>
      </c>
      <c r="O22" s="4">
        <f t="shared" si="21"/>
        <v>-1.5786702805737921E-2</v>
      </c>
      <c r="P22" s="4">
        <f t="shared" si="21"/>
        <v>-1.4381528532384318E-2</v>
      </c>
      <c r="Q22" s="4">
        <f t="shared" si="21"/>
        <v>-1.7550339903926626E-2</v>
      </c>
      <c r="R22" s="4">
        <f t="shared" si="21"/>
        <v>-1.9089340298551999E-2</v>
      </c>
      <c r="S22" s="4">
        <f t="shared" si="21"/>
        <v>-1.8745215986710303E-2</v>
      </c>
      <c r="W22">
        <f t="shared" si="15"/>
        <v>0</v>
      </c>
      <c r="AF22">
        <f t="shared" ref="AF22:AG22" si="22">ABS(AF69*(SIN(42*PI()/180)))</f>
        <v>0</v>
      </c>
      <c r="AG22">
        <f t="shared" si="22"/>
        <v>0</v>
      </c>
    </row>
    <row r="26" spans="1:41" x14ac:dyDescent="0.25">
      <c r="E26" s="9" t="s">
        <v>12</v>
      </c>
      <c r="F26" s="9"/>
      <c r="G26" s="9"/>
      <c r="H26" s="9"/>
      <c r="I26" s="9"/>
      <c r="J26" s="9"/>
    </row>
    <row r="27" spans="1:41" x14ac:dyDescent="0.25">
      <c r="C27" t="s">
        <v>6</v>
      </c>
      <c r="G27" t="s">
        <v>9</v>
      </c>
    </row>
    <row r="28" spans="1:41" x14ac:dyDescent="0.25">
      <c r="C28" t="s">
        <v>2</v>
      </c>
      <c r="D28" t="s">
        <v>0</v>
      </c>
      <c r="E28" t="s">
        <v>3</v>
      </c>
      <c r="F28" t="s">
        <v>4</v>
      </c>
    </row>
    <row r="29" spans="1:41" x14ac:dyDescent="0.25">
      <c r="C29" t="s">
        <v>5</v>
      </c>
      <c r="D29" s="1">
        <v>43379</v>
      </c>
      <c r="E29" s="1">
        <v>43404</v>
      </c>
      <c r="F29" s="1">
        <v>43417</v>
      </c>
      <c r="G29" s="1">
        <v>43439</v>
      </c>
      <c r="H29" s="1">
        <v>43452</v>
      </c>
      <c r="I29" s="1">
        <v>43470</v>
      </c>
      <c r="J29" s="1">
        <v>43486</v>
      </c>
      <c r="K29" s="1">
        <v>43502</v>
      </c>
      <c r="L29" s="1">
        <v>43521</v>
      </c>
      <c r="M29" s="1">
        <v>43537</v>
      </c>
      <c r="N29" s="1">
        <v>43556</v>
      </c>
      <c r="O29" s="1">
        <v>43565</v>
      </c>
      <c r="P29" s="1">
        <v>43579</v>
      </c>
      <c r="Q29" s="1">
        <v>43600</v>
      </c>
      <c r="R29" s="1">
        <v>43614</v>
      </c>
      <c r="S29" s="1">
        <v>43628</v>
      </c>
      <c r="T29" s="1">
        <v>43654</v>
      </c>
      <c r="U29" s="1">
        <v>43670</v>
      </c>
      <c r="V29" s="1">
        <v>43693</v>
      </c>
      <c r="W29" s="1">
        <v>43707</v>
      </c>
      <c r="X29" s="1">
        <v>43733</v>
      </c>
      <c r="Y29" s="1">
        <v>43748</v>
      </c>
      <c r="Z29" s="1">
        <v>43770</v>
      </c>
      <c r="AA29" s="1">
        <v>43790</v>
      </c>
      <c r="AB29" s="1">
        <v>43806</v>
      </c>
      <c r="AC29" s="1">
        <v>43817</v>
      </c>
      <c r="AD29" s="1">
        <v>43839</v>
      </c>
      <c r="AE29" s="1">
        <v>43869</v>
      </c>
      <c r="AF29" s="1">
        <v>43902</v>
      </c>
      <c r="AG29" s="1">
        <v>43924</v>
      </c>
      <c r="AH29" s="5">
        <v>43953</v>
      </c>
      <c r="AI29" s="5">
        <v>43982</v>
      </c>
      <c r="AJ29" s="5">
        <v>44024</v>
      </c>
      <c r="AK29" s="1">
        <v>44078</v>
      </c>
      <c r="AL29" s="1">
        <v>44138</v>
      </c>
      <c r="AM29" s="1">
        <v>44231</v>
      </c>
      <c r="AN29" s="1">
        <v>44355</v>
      </c>
      <c r="AO29" s="1">
        <v>44613</v>
      </c>
    </row>
    <row r="30" spans="1:41" x14ac:dyDescent="0.25">
      <c r="A30" s="2">
        <f>B30-3</f>
        <v>-1</v>
      </c>
      <c r="B30">
        <v>2</v>
      </c>
      <c r="C30" s="3">
        <v>1</v>
      </c>
    </row>
    <row r="31" spans="1:41" x14ac:dyDescent="0.25">
      <c r="A31" s="2">
        <f t="shared" ref="A31:A44" si="23">B31-3</f>
        <v>1</v>
      </c>
      <c r="B31">
        <v>4</v>
      </c>
      <c r="C31" s="3">
        <v>1</v>
      </c>
      <c r="D31">
        <v>0</v>
      </c>
      <c r="E31">
        <f t="shared" ref="E31:W44" si="24">ABS(E75*(SIN(42*PI()/180)))</f>
        <v>3.2787399711584051E-3</v>
      </c>
      <c r="F31">
        <f t="shared" si="24"/>
        <v>7.8957411550345264E-3</v>
      </c>
      <c r="G31">
        <f t="shared" si="24"/>
        <v>2.0475396554581062E-2</v>
      </c>
      <c r="H31">
        <f t="shared" si="24"/>
        <v>3.6869096410373094E-2</v>
      </c>
      <c r="I31">
        <f t="shared" si="24"/>
        <v>4.2824358806966931E-2</v>
      </c>
      <c r="J31">
        <f t="shared" si="24"/>
        <v>2.4891658556549526E-2</v>
      </c>
      <c r="K31">
        <f t="shared" si="24"/>
        <v>4.0683140866618582E-2</v>
      </c>
      <c r="L31">
        <f t="shared" si="24"/>
        <v>3.0780007892507479E-2</v>
      </c>
      <c r="M31">
        <f t="shared" si="24"/>
        <v>3.7002922531644861E-2</v>
      </c>
      <c r="N31">
        <f t="shared" si="24"/>
        <v>3.2988138893491711E-2</v>
      </c>
      <c r="O31">
        <f t="shared" si="24"/>
        <v>4.1686836776156866E-2</v>
      </c>
      <c r="P31">
        <f t="shared" si="24"/>
        <v>4.269053268569515E-2</v>
      </c>
      <c r="Q31">
        <f t="shared" si="24"/>
        <v>5.0452447719457907E-2</v>
      </c>
      <c r="R31">
        <f t="shared" si="24"/>
        <v>5.0653186901365568E-2</v>
      </c>
      <c r="S31">
        <f t="shared" si="24"/>
        <v>5.426649217570341E-2</v>
      </c>
      <c r="T31">
        <f t="shared" si="24"/>
        <v>5.8883493359579521E-2</v>
      </c>
      <c r="U31">
        <f t="shared" si="24"/>
        <v>6.7180712878429374E-2</v>
      </c>
      <c r="V31">
        <f t="shared" si="24"/>
        <v>6.9388843879413603E-2</v>
      </c>
      <c r="W31">
        <f t="shared" si="24"/>
        <v>7.5544845457915094E-2</v>
      </c>
      <c r="X31">
        <f t="shared" ref="X31:AO31" si="25">ABS(X75*(SIN(42*PI()/180)))</f>
        <v>5.4667970539518718E-2</v>
      </c>
      <c r="Y31">
        <f t="shared" si="25"/>
        <v>4.4028793898412869E-2</v>
      </c>
      <c r="Z31">
        <f t="shared" si="25"/>
        <v>6.8385147969875312E-2</v>
      </c>
      <c r="AA31">
        <f t="shared" si="25"/>
        <v>7.380510588138206E-2</v>
      </c>
      <c r="AB31">
        <f t="shared" si="25"/>
        <v>9.287532816260953E-2</v>
      </c>
      <c r="AC31">
        <f t="shared" si="25"/>
        <v>9.3611371829604259E-2</v>
      </c>
      <c r="AD31">
        <f t="shared" si="25"/>
        <v>9.1470153889255917E-2</v>
      </c>
      <c r="AE31">
        <f t="shared" si="25"/>
        <v>0.10732854925996085</v>
      </c>
      <c r="AF31">
        <f t="shared" si="25"/>
        <v>0.11683020387025665</v>
      </c>
      <c r="AG31">
        <f t="shared" si="25"/>
        <v>0.11415368144482121</v>
      </c>
      <c r="AH31">
        <f t="shared" si="25"/>
        <v>0.13282242536223338</v>
      </c>
      <c r="AI31">
        <f t="shared" si="25"/>
        <v>0.12954368539107494</v>
      </c>
      <c r="AJ31">
        <f t="shared" si="25"/>
        <v>0.13770707878865304</v>
      </c>
      <c r="AK31">
        <f t="shared" si="25"/>
        <v>0.14781095094467178</v>
      </c>
      <c r="AL31">
        <f t="shared" si="25"/>
        <v>0.18876174405383392</v>
      </c>
      <c r="AM31">
        <f t="shared" si="25"/>
        <v>0.18113365514134291</v>
      </c>
      <c r="AN31">
        <f t="shared" si="25"/>
        <v>0.18113365514134291</v>
      </c>
      <c r="AO31">
        <f t="shared" si="25"/>
        <v>0.2185380560368031</v>
      </c>
    </row>
    <row r="32" spans="1:41" x14ac:dyDescent="0.25">
      <c r="A32" s="2">
        <f t="shared" si="23"/>
        <v>3</v>
      </c>
      <c r="B32">
        <v>6</v>
      </c>
      <c r="C32" s="3">
        <v>3</v>
      </c>
      <c r="D32">
        <v>0</v>
      </c>
      <c r="E32">
        <f t="shared" si="24"/>
        <v>4.4831750626043504E-3</v>
      </c>
      <c r="F32">
        <f t="shared" si="24"/>
        <v>2.4088701828918896E-3</v>
      </c>
      <c r="G32">
        <f t="shared" si="24"/>
        <v>1.9404787584406888E-3</v>
      </c>
      <c r="H32">
        <f t="shared" si="24"/>
        <v>1.4319394976079565E-2</v>
      </c>
      <c r="I32">
        <f t="shared" si="24"/>
        <v>1.6995917401514998E-2</v>
      </c>
      <c r="J32">
        <f t="shared" si="24"/>
        <v>1.8735656978048031E-3</v>
      </c>
      <c r="K32">
        <f t="shared" si="24"/>
        <v>1.6995917401514998E-2</v>
      </c>
      <c r="L32">
        <f t="shared" si="24"/>
        <v>3.7471313956096062E-3</v>
      </c>
      <c r="M32">
        <f t="shared" si="24"/>
        <v>1.2312003157002991E-2</v>
      </c>
      <c r="N32">
        <f t="shared" si="24"/>
        <v>1.0438437459198188E-2</v>
      </c>
      <c r="O32">
        <f t="shared" si="24"/>
        <v>1.7129743522786772E-2</v>
      </c>
      <c r="P32">
        <f t="shared" si="24"/>
        <v>1.6795178219607344E-2</v>
      </c>
      <c r="Q32">
        <f t="shared" si="24"/>
        <v>2.2415875313021753E-2</v>
      </c>
      <c r="R32">
        <f t="shared" si="24"/>
        <v>2.5694615284180156E-2</v>
      </c>
      <c r="S32">
        <f t="shared" si="24"/>
        <v>3.011087728614862E-2</v>
      </c>
      <c r="T32">
        <f t="shared" si="24"/>
        <v>4.3092011049510472E-2</v>
      </c>
      <c r="U32">
        <f t="shared" si="24"/>
        <v>3.5196269894475947E-2</v>
      </c>
      <c r="V32">
        <f t="shared" si="24"/>
        <v>4.4631011444135844E-2</v>
      </c>
      <c r="W32">
        <f t="shared" si="24"/>
        <v>4.2489793503787496E-2</v>
      </c>
      <c r="X32">
        <f t="shared" ref="X32:AO32" si="26">ABS(X76*(SIN(42*PI()/180)))</f>
        <v>4.3225837170782246E-2</v>
      </c>
      <c r="Y32">
        <f t="shared" si="26"/>
        <v>4.5367055111130587E-2</v>
      </c>
      <c r="Z32">
        <f t="shared" si="26"/>
        <v>3.9344879653900863E-2</v>
      </c>
      <c r="AA32">
        <f t="shared" si="26"/>
        <v>3.8274270683726692E-2</v>
      </c>
      <c r="AB32">
        <f t="shared" si="26"/>
        <v>5.1656882810903859E-2</v>
      </c>
      <c r="AC32">
        <f t="shared" si="26"/>
        <v>5.0987752204545003E-2</v>
      </c>
      <c r="AD32">
        <f t="shared" si="26"/>
        <v>4.8244316718473679E-2</v>
      </c>
      <c r="AE32">
        <f t="shared" si="26"/>
        <v>6.1359276603107304E-2</v>
      </c>
      <c r="AF32">
        <f t="shared" si="26"/>
        <v>7.0660192031495428E-2</v>
      </c>
      <c r="AG32">
        <f t="shared" si="26"/>
        <v>6.5909364726347536E-2</v>
      </c>
      <c r="AH32">
        <f t="shared" si="26"/>
        <v>8.2303064582139568E-2</v>
      </c>
      <c r="AI32">
        <f t="shared" si="26"/>
        <v>9.4414328557234903E-2</v>
      </c>
      <c r="AJ32">
        <f t="shared" si="26"/>
        <v>9.4882719981686098E-2</v>
      </c>
      <c r="AK32">
        <f t="shared" si="26"/>
        <v>0.10746237538123263</v>
      </c>
      <c r="AL32">
        <f t="shared" si="26"/>
        <v>0.12767011969327016</v>
      </c>
      <c r="AM32">
        <f t="shared" si="26"/>
        <v>0.1199082046595074</v>
      </c>
      <c r="AN32">
        <f t="shared" si="26"/>
        <v>0.1199082046595074</v>
      </c>
      <c r="AO32">
        <f t="shared" si="26"/>
        <v>0.14105273182044731</v>
      </c>
    </row>
    <row r="33" spans="1:41" x14ac:dyDescent="0.25">
      <c r="A33" s="2">
        <f t="shared" si="23"/>
        <v>5</v>
      </c>
      <c r="B33">
        <v>8</v>
      </c>
      <c r="C33" s="3">
        <v>5</v>
      </c>
      <c r="D33">
        <v>0</v>
      </c>
      <c r="E33">
        <f t="shared" si="24"/>
        <v>7.8957411550345264E-3</v>
      </c>
      <c r="F33">
        <f t="shared" si="24"/>
        <v>1.4854699461166654E-2</v>
      </c>
      <c r="G33">
        <f t="shared" si="24"/>
        <v>1.0304611337926418E-2</v>
      </c>
      <c r="H33">
        <f t="shared" si="24"/>
        <v>4.0147836381531493E-4</v>
      </c>
      <c r="I33">
        <f t="shared" si="24"/>
        <v>3.6802183349737201E-3</v>
      </c>
      <c r="J33">
        <f t="shared" si="24"/>
        <v>1.0438437459198188E-2</v>
      </c>
      <c r="K33">
        <f t="shared" si="24"/>
        <v>4.3493489413325781E-3</v>
      </c>
      <c r="L33">
        <f t="shared" si="24"/>
        <v>9.970046034746988E-3</v>
      </c>
      <c r="M33">
        <f t="shared" si="24"/>
        <v>1.3382612127177166E-3</v>
      </c>
      <c r="N33">
        <f t="shared" si="24"/>
        <v>3.5463922137019487E-3</v>
      </c>
      <c r="O33">
        <f t="shared" si="24"/>
        <v>2.2750440616201178E-3</v>
      </c>
      <c r="P33">
        <f t="shared" si="24"/>
        <v>1.6059134552612597E-3</v>
      </c>
      <c r="Q33">
        <f t="shared" si="24"/>
        <v>5.2192187295990941E-3</v>
      </c>
      <c r="R33">
        <f t="shared" si="24"/>
        <v>9.9031329741111028E-3</v>
      </c>
      <c r="S33">
        <f t="shared" si="24"/>
        <v>1.4453221097351339E-2</v>
      </c>
      <c r="T33">
        <f t="shared" si="24"/>
        <v>2.6832137314990213E-2</v>
      </c>
      <c r="U33">
        <f t="shared" si="24"/>
        <v>1.9337874523771004E-2</v>
      </c>
      <c r="V33">
        <f t="shared" si="24"/>
        <v>2.8906442194702679E-2</v>
      </c>
      <c r="W33">
        <f t="shared" si="24"/>
        <v>2.4155614889554783E-2</v>
      </c>
      <c r="X33">
        <f t="shared" ref="X33:AO33" si="27">ABS(X77*(SIN(42*PI()/180)))</f>
        <v>2.6363745890539012E-2</v>
      </c>
      <c r="Y33">
        <f t="shared" si="27"/>
        <v>2.9642485861697418E-2</v>
      </c>
      <c r="Z33">
        <f t="shared" si="27"/>
        <v>2.3754136525739464E-2</v>
      </c>
      <c r="AA33">
        <f t="shared" si="27"/>
        <v>2.355339734383181E-2</v>
      </c>
      <c r="AB33">
        <f t="shared" si="27"/>
        <v>3.5999226622106577E-2</v>
      </c>
      <c r="AC33">
        <f t="shared" si="27"/>
        <v>3.5865400500834803E-2</v>
      </c>
      <c r="AD33">
        <f t="shared" si="27"/>
        <v>3.2988138893491711E-2</v>
      </c>
      <c r="AE33">
        <f t="shared" si="27"/>
        <v>4.4028793898412869E-2</v>
      </c>
      <c r="AF33">
        <f t="shared" si="27"/>
        <v>5.2259100356626828E-2</v>
      </c>
      <c r="AG33">
        <f t="shared" si="27"/>
        <v>4.6504577141940652E-2</v>
      </c>
      <c r="AH33">
        <f t="shared" si="27"/>
        <v>6.1693841906286732E-2</v>
      </c>
      <c r="AI33">
        <f t="shared" si="27"/>
        <v>7.5344106276007447E-2</v>
      </c>
      <c r="AJ33">
        <f t="shared" si="27"/>
        <v>7.4407323427105029E-2</v>
      </c>
      <c r="AK33">
        <f t="shared" si="27"/>
        <v>8.6585500462836251E-2</v>
      </c>
      <c r="AL33">
        <f t="shared" si="27"/>
        <v>0.10438437459198188</v>
      </c>
      <c r="AM33">
        <f t="shared" si="27"/>
        <v>9.8897503619839233E-2</v>
      </c>
      <c r="AN33">
        <f t="shared" si="27"/>
        <v>9.8897503619839233E-2</v>
      </c>
      <c r="AO33">
        <f t="shared" si="27"/>
        <v>0.11856994344678967</v>
      </c>
    </row>
    <row r="34" spans="1:41" x14ac:dyDescent="0.25">
      <c r="A34" s="2">
        <f t="shared" si="23"/>
        <v>7</v>
      </c>
      <c r="B34">
        <v>10</v>
      </c>
      <c r="C34" s="3">
        <v>7</v>
      </c>
      <c r="D34">
        <v>0</v>
      </c>
      <c r="E34">
        <f t="shared" si="24"/>
        <v>3.6133052743378348E-3</v>
      </c>
      <c r="F34">
        <f t="shared" si="24"/>
        <v>1.3382612127177165E-2</v>
      </c>
      <c r="G34">
        <f t="shared" si="24"/>
        <v>7.7619150337627551E-3</v>
      </c>
      <c r="H34">
        <f t="shared" si="24"/>
        <v>2.3419571222560039E-3</v>
      </c>
      <c r="I34">
        <f t="shared" si="24"/>
        <v>7.2935236093115549E-3</v>
      </c>
      <c r="J34">
        <f t="shared" si="24"/>
        <v>3.6802183349737201E-3</v>
      </c>
      <c r="K34">
        <f t="shared" si="24"/>
        <v>9.1670893071163582E-3</v>
      </c>
      <c r="L34">
        <f t="shared" si="24"/>
        <v>3.8809575168813775E-3</v>
      </c>
      <c r="M34">
        <f t="shared" si="24"/>
        <v>4.0147836381531493E-3</v>
      </c>
      <c r="N34">
        <f t="shared" si="24"/>
        <v>8.6986978826651565E-4</v>
      </c>
      <c r="O34">
        <f t="shared" si="24"/>
        <v>5.620697093414409E-3</v>
      </c>
      <c r="P34">
        <f t="shared" si="24"/>
        <v>5.620697093414409E-3</v>
      </c>
      <c r="Q34">
        <f t="shared" si="24"/>
        <v>9.3678284890240156E-3</v>
      </c>
      <c r="R34">
        <f t="shared" si="24"/>
        <v>1.2914220702725965E-2</v>
      </c>
      <c r="S34">
        <f t="shared" si="24"/>
        <v>1.7731961068509744E-2</v>
      </c>
      <c r="T34">
        <f t="shared" si="24"/>
        <v>2.8772616073430901E-2</v>
      </c>
      <c r="U34">
        <f t="shared" si="24"/>
        <v>2.0542309615216948E-2</v>
      </c>
      <c r="V34">
        <f t="shared" si="24"/>
        <v>3.0646181771235709E-2</v>
      </c>
      <c r="W34">
        <f t="shared" si="24"/>
        <v>2.6832137314990213E-2</v>
      </c>
      <c r="X34">
        <f t="shared" ref="X34:AO34" si="28">ABS(X78*(SIN(42*PI()/180)))</f>
        <v>3.0378529528692164E-2</v>
      </c>
      <c r="Y34">
        <f t="shared" si="28"/>
        <v>3.1582964620138106E-2</v>
      </c>
      <c r="Z34">
        <f t="shared" si="28"/>
        <v>2.5627702223544272E-2</v>
      </c>
      <c r="AA34">
        <f t="shared" si="28"/>
        <v>2.4824745495913642E-2</v>
      </c>
      <c r="AB34">
        <f t="shared" si="28"/>
        <v>3.6199965804014231E-2</v>
      </c>
      <c r="AC34">
        <f t="shared" si="28"/>
        <v>3.7672053138003724E-2</v>
      </c>
      <c r="AD34">
        <f t="shared" si="28"/>
        <v>3.6199965804014231E-2</v>
      </c>
      <c r="AE34">
        <f t="shared" si="28"/>
        <v>4.2422880443151609E-2</v>
      </c>
      <c r="AF34">
        <f t="shared" si="28"/>
        <v>5.1790708932175626E-2</v>
      </c>
      <c r="AG34">
        <f t="shared" si="28"/>
        <v>4.53001420504947E-2</v>
      </c>
      <c r="AH34">
        <f t="shared" si="28"/>
        <v>5.8348188874492439E-2</v>
      </c>
      <c r="AI34">
        <f t="shared" si="28"/>
        <v>7.0526365910223654E-2</v>
      </c>
      <c r="AJ34">
        <f t="shared" si="28"/>
        <v>6.8987365515598281E-2</v>
      </c>
      <c r="AK34">
        <f t="shared" si="28"/>
        <v>8.0228759702427113E-2</v>
      </c>
      <c r="AL34">
        <f t="shared" si="28"/>
        <v>9.5418024466773194E-2</v>
      </c>
      <c r="AM34">
        <f t="shared" si="28"/>
        <v>8.959658819145111E-2</v>
      </c>
      <c r="AN34">
        <f t="shared" si="28"/>
        <v>8.959658819145111E-2</v>
      </c>
      <c r="AO34">
        <f t="shared" si="28"/>
        <v>0.10846607129077092</v>
      </c>
    </row>
    <row r="35" spans="1:41" x14ac:dyDescent="0.25">
      <c r="A35" s="2">
        <f t="shared" si="23"/>
        <v>9</v>
      </c>
      <c r="B35">
        <v>12</v>
      </c>
      <c r="C35" s="3">
        <v>9</v>
      </c>
      <c r="D35">
        <v>0</v>
      </c>
      <c r="E35">
        <f t="shared" si="24"/>
        <v>2.9441746679789763E-3</v>
      </c>
      <c r="F35">
        <f t="shared" si="24"/>
        <v>1.3382612127177165E-2</v>
      </c>
      <c r="G35">
        <f t="shared" si="24"/>
        <v>8.0295672763062986E-3</v>
      </c>
      <c r="H35">
        <f t="shared" si="24"/>
        <v>1.2044350914459448E-3</v>
      </c>
      <c r="I35">
        <f t="shared" si="24"/>
        <v>5.9552623965938379E-3</v>
      </c>
      <c r="J35">
        <f t="shared" si="24"/>
        <v>4.2824358806966929E-3</v>
      </c>
      <c r="K35">
        <f t="shared" si="24"/>
        <v>8.7656109433010432E-3</v>
      </c>
      <c r="L35">
        <f t="shared" si="24"/>
        <v>1.5390003946253738E-3</v>
      </c>
      <c r="M35">
        <f t="shared" si="24"/>
        <v>3.6133052743378348E-3</v>
      </c>
      <c r="N35">
        <f t="shared" si="24"/>
        <v>4.0147836381531493E-4</v>
      </c>
      <c r="O35">
        <f t="shared" si="24"/>
        <v>4.4831750626043504E-3</v>
      </c>
      <c r="P35">
        <f t="shared" si="24"/>
        <v>5.0853926083273228E-3</v>
      </c>
      <c r="Q35">
        <f t="shared" si="24"/>
        <v>6.5574799423168103E-3</v>
      </c>
      <c r="R35">
        <f t="shared" si="24"/>
        <v>1.0438437459198188E-2</v>
      </c>
      <c r="S35">
        <f t="shared" si="24"/>
        <v>1.411865579417191E-2</v>
      </c>
      <c r="T35">
        <f t="shared" si="24"/>
        <v>2.4155614889554783E-2</v>
      </c>
      <c r="U35">
        <f t="shared" si="24"/>
        <v>1.5724569249433169E-2</v>
      </c>
      <c r="V35">
        <f t="shared" si="24"/>
        <v>2.6096093647995471E-2</v>
      </c>
      <c r="W35">
        <f t="shared" si="24"/>
        <v>2.3218832040652383E-2</v>
      </c>
      <c r="X35">
        <f t="shared" ref="X35:AO35" si="29">ABS(X79*(SIN(42*PI()/180)))</f>
        <v>2.5761528344816043E-2</v>
      </c>
      <c r="Y35">
        <f t="shared" si="29"/>
        <v>2.7032876496897871E-2</v>
      </c>
      <c r="Z35">
        <f t="shared" si="29"/>
        <v>2.0943787979032263E-2</v>
      </c>
      <c r="AA35">
        <f t="shared" si="29"/>
        <v>2.1412179403483465E-2</v>
      </c>
      <c r="AB35">
        <f t="shared" si="29"/>
        <v>3.0846920953143366E-2</v>
      </c>
      <c r="AC35">
        <f t="shared" si="29"/>
        <v>3.1984442983953427E-2</v>
      </c>
      <c r="AD35">
        <f t="shared" si="29"/>
        <v>3.2385921347768735E-2</v>
      </c>
      <c r="AE35">
        <f t="shared" si="29"/>
        <v>3.5330096015747714E-2</v>
      </c>
      <c r="AF35">
        <f t="shared" si="29"/>
        <v>4.255670656442339E-2</v>
      </c>
      <c r="AG35">
        <f t="shared" si="29"/>
        <v>3.6467618046557772E-2</v>
      </c>
      <c r="AH35">
        <f t="shared" si="29"/>
        <v>4.7842838354658357E-2</v>
      </c>
      <c r="AI35">
        <f t="shared" si="29"/>
        <v>5.7812884389405357E-2</v>
      </c>
      <c r="AJ35">
        <f t="shared" si="29"/>
        <v>5.5270188085241694E-2</v>
      </c>
      <c r="AK35">
        <f t="shared" si="29"/>
        <v>6.4704929634901584E-2</v>
      </c>
      <c r="AL35">
        <f t="shared" si="29"/>
        <v>7.781988951953521E-2</v>
      </c>
      <c r="AM35">
        <f t="shared" si="29"/>
        <v>7.0660192031495428E-2</v>
      </c>
      <c r="AN35">
        <f t="shared" si="29"/>
        <v>7.0660192031495428E-2</v>
      </c>
      <c r="AO35">
        <f t="shared" si="29"/>
        <v>8.8592892281912819E-2</v>
      </c>
    </row>
    <row r="36" spans="1:41" x14ac:dyDescent="0.25">
      <c r="A36" s="2">
        <f t="shared" si="23"/>
        <v>11</v>
      </c>
      <c r="B36">
        <v>14</v>
      </c>
      <c r="C36" s="3">
        <v>11</v>
      </c>
      <c r="D36">
        <v>0</v>
      </c>
      <c r="E36">
        <f t="shared" si="24"/>
        <v>2.9441746679789763E-3</v>
      </c>
      <c r="F36">
        <f t="shared" si="24"/>
        <v>1.4453221097351339E-2</v>
      </c>
      <c r="G36">
        <f t="shared" si="24"/>
        <v>9.5685676709316731E-3</v>
      </c>
      <c r="H36">
        <f t="shared" si="24"/>
        <v>6.6913060635885825E-3</v>
      </c>
      <c r="I36">
        <f t="shared" si="24"/>
        <v>1.3382612127177166E-3</v>
      </c>
      <c r="J36">
        <f t="shared" si="24"/>
        <v>5.2861317902349802E-3</v>
      </c>
      <c r="K36">
        <f t="shared" si="24"/>
        <v>5.3530448508708663E-3</v>
      </c>
      <c r="L36">
        <f t="shared" si="24"/>
        <v>2.9441746679789763E-3</v>
      </c>
      <c r="M36">
        <f t="shared" si="24"/>
        <v>6.6913060635885826E-5</v>
      </c>
      <c r="N36">
        <f t="shared" si="24"/>
        <v>2.2750440616201178E-3</v>
      </c>
      <c r="O36">
        <f t="shared" si="24"/>
        <v>8.0295672763062986E-4</v>
      </c>
      <c r="P36">
        <f t="shared" si="24"/>
        <v>2.6765224254354332E-3</v>
      </c>
      <c r="Q36">
        <f t="shared" si="24"/>
        <v>2.8103485467072045E-3</v>
      </c>
      <c r="R36">
        <f t="shared" si="24"/>
        <v>5.3530448508708663E-3</v>
      </c>
      <c r="S36">
        <f t="shared" si="24"/>
        <v>8.7656109433010432E-3</v>
      </c>
      <c r="T36">
        <f t="shared" si="24"/>
        <v>1.6460612916427912E-2</v>
      </c>
      <c r="U36">
        <f t="shared" si="24"/>
        <v>8.9663501252087007E-3</v>
      </c>
      <c r="V36">
        <f t="shared" si="24"/>
        <v>1.9806265948222206E-2</v>
      </c>
      <c r="W36">
        <f t="shared" si="24"/>
        <v>1.8200352492960942E-2</v>
      </c>
      <c r="X36">
        <f t="shared" ref="X36:AO36" si="30">ABS(X80*(SIN(42*PI()/180)))</f>
        <v>1.8601830856776257E-2</v>
      </c>
      <c r="Y36">
        <f t="shared" si="30"/>
        <v>2.1144527160939921E-2</v>
      </c>
      <c r="Z36">
        <f t="shared" si="30"/>
        <v>1.5791482310069053E-2</v>
      </c>
      <c r="AA36">
        <f t="shared" si="30"/>
        <v>1.7397395765330313E-2</v>
      </c>
      <c r="AB36">
        <f t="shared" si="30"/>
        <v>2.3018092858744725E-2</v>
      </c>
      <c r="AC36">
        <f t="shared" si="30"/>
        <v>2.5226223859728954E-2</v>
      </c>
      <c r="AD36">
        <f t="shared" si="30"/>
        <v>2.5627702223544272E-2</v>
      </c>
      <c r="AE36">
        <f t="shared" si="30"/>
        <v>2.4757832435277755E-2</v>
      </c>
      <c r="AF36">
        <f t="shared" si="30"/>
        <v>2.8170398527707932E-2</v>
      </c>
      <c r="AG36">
        <f t="shared" si="30"/>
        <v>2.2750440616201181E-2</v>
      </c>
      <c r="AH36">
        <f t="shared" si="30"/>
        <v>3.1382225438230452E-2</v>
      </c>
      <c r="AI36">
        <f t="shared" si="30"/>
        <v>3.9813271078352065E-2</v>
      </c>
      <c r="AJ36">
        <f t="shared" si="30"/>
        <v>3.5865400500834803E-2</v>
      </c>
      <c r="AK36">
        <f t="shared" si="30"/>
        <v>4.2088315139972181E-2</v>
      </c>
      <c r="AL36">
        <f t="shared" si="30"/>
        <v>5.2928230962985691E-2</v>
      </c>
      <c r="AM36">
        <f t="shared" si="30"/>
        <v>4.0950793109162123E-2</v>
      </c>
      <c r="AN36">
        <f t="shared" si="30"/>
        <v>4.0950793109162123E-2</v>
      </c>
      <c r="AO36">
        <f t="shared" si="30"/>
        <v>6.0288667632933127E-2</v>
      </c>
    </row>
    <row r="37" spans="1:41" x14ac:dyDescent="0.25">
      <c r="A37" s="2">
        <f t="shared" si="23"/>
        <v>13</v>
      </c>
      <c r="B37">
        <v>16</v>
      </c>
      <c r="C37" s="3">
        <v>13</v>
      </c>
      <c r="D37">
        <v>0</v>
      </c>
      <c r="E37">
        <f t="shared" si="24"/>
        <v>5.1523056689632089E-3</v>
      </c>
      <c r="F37">
        <f t="shared" si="24"/>
        <v>7.3604366699474401E-3</v>
      </c>
      <c r="G37">
        <f t="shared" si="24"/>
        <v>2.7434354860713188E-3</v>
      </c>
      <c r="H37">
        <f t="shared" si="24"/>
        <v>4.1486097594249207E-3</v>
      </c>
      <c r="I37">
        <f t="shared" si="24"/>
        <v>3.9478705775172632E-3</v>
      </c>
      <c r="J37">
        <f t="shared" si="24"/>
        <v>7.3604366699474408E-4</v>
      </c>
      <c r="K37">
        <f t="shared" si="24"/>
        <v>9.970046034746988E-3</v>
      </c>
      <c r="L37">
        <f t="shared" si="24"/>
        <v>3.9478705775172632E-3</v>
      </c>
      <c r="M37">
        <f t="shared" si="24"/>
        <v>4.9515664870555514E-3</v>
      </c>
      <c r="N37">
        <f t="shared" si="24"/>
        <v>3.6802183349737201E-3</v>
      </c>
      <c r="O37">
        <f t="shared" si="24"/>
        <v>5.2861317902349802E-3</v>
      </c>
      <c r="P37">
        <f t="shared" si="24"/>
        <v>7.6950019731268698E-3</v>
      </c>
      <c r="Q37">
        <f t="shared" si="24"/>
        <v>6.7582191242244677E-3</v>
      </c>
      <c r="R37">
        <f t="shared" si="24"/>
        <v>8.3641325794857283E-3</v>
      </c>
      <c r="S37">
        <f t="shared" si="24"/>
        <v>1.2111263975095335E-2</v>
      </c>
      <c r="T37">
        <f t="shared" si="24"/>
        <v>1.7598134947237973E-2</v>
      </c>
      <c r="U37">
        <f t="shared" si="24"/>
        <v>1.251274233891065E-2</v>
      </c>
      <c r="V37">
        <f t="shared" si="24"/>
        <v>2.1813657767298777E-2</v>
      </c>
      <c r="W37">
        <f t="shared" si="24"/>
        <v>2.1144527160939921E-2</v>
      </c>
      <c r="X37">
        <f t="shared" ref="X37:AO37" si="31">ABS(X81*(SIN(42*PI()/180)))</f>
        <v>1.8936396159955689E-2</v>
      </c>
      <c r="Y37">
        <f t="shared" si="31"/>
        <v>2.3352658161924153E-2</v>
      </c>
      <c r="Z37">
        <f t="shared" si="31"/>
        <v>1.8936396159955689E-2</v>
      </c>
      <c r="AA37">
        <f t="shared" si="31"/>
        <v>2.1679831646027006E-2</v>
      </c>
      <c r="AB37">
        <f t="shared" si="31"/>
        <v>2.4021788768283012E-2</v>
      </c>
      <c r="AC37">
        <f t="shared" si="31"/>
        <v>2.5426963041636611E-2</v>
      </c>
      <c r="AD37">
        <f t="shared" si="31"/>
        <v>2.5360049981000728E-2</v>
      </c>
      <c r="AE37">
        <f t="shared" si="31"/>
        <v>2.3687223465103581E-2</v>
      </c>
      <c r="AF37">
        <f t="shared" si="31"/>
        <v>2.4423267132098324E-2</v>
      </c>
      <c r="AG37">
        <f t="shared" si="31"/>
        <v>1.9137135341863346E-2</v>
      </c>
      <c r="AH37">
        <f t="shared" si="31"/>
        <v>2.6430658951174902E-2</v>
      </c>
      <c r="AI37">
        <f t="shared" si="31"/>
        <v>3.2854312772219937E-2</v>
      </c>
      <c r="AJ37">
        <f t="shared" si="31"/>
        <v>2.6832137314990213E-2</v>
      </c>
      <c r="AK37">
        <f t="shared" si="31"/>
        <v>3.0512355649963938E-2</v>
      </c>
      <c r="AL37">
        <f t="shared" si="31"/>
        <v>3.9211053532629089E-2</v>
      </c>
      <c r="AM37">
        <f t="shared" si="31"/>
        <v>2.2348962252385866E-2</v>
      </c>
      <c r="AN37">
        <f t="shared" si="31"/>
        <v>2.2348962252385866E-2</v>
      </c>
      <c r="AO37">
        <f t="shared" si="31"/>
        <v>4.7106794687663621E-2</v>
      </c>
    </row>
    <row r="38" spans="1:41" x14ac:dyDescent="0.25">
      <c r="A38" s="2">
        <f t="shared" si="23"/>
        <v>15</v>
      </c>
      <c r="B38">
        <v>18</v>
      </c>
      <c r="C38" s="3">
        <v>15</v>
      </c>
      <c r="D38">
        <v>0</v>
      </c>
      <c r="E38">
        <f t="shared" si="24"/>
        <v>8.0295672763062986E-3</v>
      </c>
      <c r="F38">
        <f t="shared" si="24"/>
        <v>3.7471313956096062E-3</v>
      </c>
      <c r="G38">
        <f t="shared" si="24"/>
        <v>3.3456530317942915E-4</v>
      </c>
      <c r="H38">
        <f t="shared" si="24"/>
        <v>1.0706089701741732E-3</v>
      </c>
      <c r="I38">
        <f t="shared" si="24"/>
        <v>6.5574799423168103E-3</v>
      </c>
      <c r="J38">
        <f t="shared" si="24"/>
        <v>6.0890885178656101E-3</v>
      </c>
      <c r="K38">
        <f t="shared" si="24"/>
        <v>1.1107568065557048E-2</v>
      </c>
      <c r="L38">
        <f t="shared" si="24"/>
        <v>6.9589583061321252E-3</v>
      </c>
      <c r="M38">
        <f t="shared" si="24"/>
        <v>7.3604366699474401E-3</v>
      </c>
      <c r="N38">
        <f t="shared" si="24"/>
        <v>6.8251321848603547E-3</v>
      </c>
      <c r="O38">
        <f t="shared" si="24"/>
        <v>8.9663501252087007E-3</v>
      </c>
      <c r="P38">
        <f t="shared" si="24"/>
        <v>9.970046034746988E-3</v>
      </c>
      <c r="Q38">
        <f t="shared" si="24"/>
        <v>9.5685676709316731E-3</v>
      </c>
      <c r="R38">
        <f t="shared" si="24"/>
        <v>9.7693068528393306E-3</v>
      </c>
      <c r="S38">
        <f t="shared" si="24"/>
        <v>1.2713481520818306E-2</v>
      </c>
      <c r="T38">
        <f t="shared" si="24"/>
        <v>1.9003309220591576E-2</v>
      </c>
      <c r="U38">
        <f t="shared" si="24"/>
        <v>1.331569906654128E-2</v>
      </c>
      <c r="V38">
        <f t="shared" si="24"/>
        <v>2.1412179403483465E-2</v>
      </c>
      <c r="W38">
        <f t="shared" si="24"/>
        <v>2.1211440221575804E-2</v>
      </c>
      <c r="X38">
        <f t="shared" ref="X38:AO38" si="32">ABS(X82*(SIN(42*PI()/180)))</f>
        <v>1.8936396159955689E-2</v>
      </c>
      <c r="Y38">
        <f t="shared" si="32"/>
        <v>2.3620310404467694E-2</v>
      </c>
      <c r="Z38">
        <f t="shared" si="32"/>
        <v>1.8735656978048031E-2</v>
      </c>
      <c r="AA38">
        <f t="shared" si="32"/>
        <v>2.2081310009842321E-2</v>
      </c>
      <c r="AB38">
        <f t="shared" si="32"/>
        <v>2.3954875707647125E-2</v>
      </c>
      <c r="AC38">
        <f t="shared" si="32"/>
        <v>2.4757832435277755E-2</v>
      </c>
      <c r="AD38">
        <f t="shared" si="32"/>
        <v>2.50254846778213E-2</v>
      </c>
      <c r="AE38">
        <f t="shared" si="32"/>
        <v>2.3218832040652383E-2</v>
      </c>
      <c r="AF38">
        <f t="shared" si="32"/>
        <v>2.3352658161924153E-2</v>
      </c>
      <c r="AG38">
        <f t="shared" si="32"/>
        <v>1.8601830856776257E-2</v>
      </c>
      <c r="AH38">
        <f t="shared" si="32"/>
        <v>2.4423267132098324E-2</v>
      </c>
      <c r="AI38">
        <f t="shared" si="32"/>
        <v>2.9776311982969188E-2</v>
      </c>
      <c r="AJ38">
        <f t="shared" si="32"/>
        <v>2.3620310404467694E-2</v>
      </c>
      <c r="AK38">
        <f t="shared" si="32"/>
        <v>2.6363745890539012E-2</v>
      </c>
      <c r="AL38">
        <f t="shared" si="32"/>
        <v>3.4660965409388858E-2</v>
      </c>
      <c r="AM38">
        <f t="shared" si="32"/>
        <v>1.7598134947237973E-2</v>
      </c>
      <c r="AN38">
        <f t="shared" si="32"/>
        <v>1.7598134947237973E-2</v>
      </c>
      <c r="AO38">
        <f t="shared" si="32"/>
        <v>3.8073531501819032E-2</v>
      </c>
    </row>
    <row r="39" spans="1:41" x14ac:dyDescent="0.25">
      <c r="A39" s="2">
        <f t="shared" si="23"/>
        <v>17</v>
      </c>
      <c r="B39">
        <v>20</v>
      </c>
      <c r="C39" s="3">
        <v>17</v>
      </c>
      <c r="D39">
        <v>0</v>
      </c>
      <c r="E39">
        <f t="shared" si="24"/>
        <v>1.1776698671915905E-2</v>
      </c>
      <c r="F39">
        <f t="shared" si="24"/>
        <v>5.3530448508708661E-4</v>
      </c>
      <c r="G39">
        <f t="shared" si="24"/>
        <v>3.1449138498866338E-3</v>
      </c>
      <c r="H39">
        <f t="shared" si="24"/>
        <v>4.2824358806966929E-3</v>
      </c>
      <c r="I39">
        <f t="shared" si="24"/>
        <v>1.0438437459198188E-2</v>
      </c>
      <c r="J39">
        <f t="shared" si="24"/>
        <v>1.1642872550644133E-2</v>
      </c>
      <c r="K39">
        <f t="shared" si="24"/>
        <v>1.4185568854807795E-2</v>
      </c>
      <c r="L39">
        <f t="shared" si="24"/>
        <v>1.2713481520818306E-2</v>
      </c>
      <c r="M39">
        <f t="shared" si="24"/>
        <v>1.0438437459198188E-2</v>
      </c>
      <c r="N39">
        <f t="shared" si="24"/>
        <v>1.2378916217638878E-2</v>
      </c>
      <c r="O39">
        <f t="shared" si="24"/>
        <v>1.2044350914459448E-2</v>
      </c>
      <c r="P39">
        <f t="shared" si="24"/>
        <v>1.2780394581454191E-2</v>
      </c>
      <c r="Q39">
        <f t="shared" si="24"/>
        <v>1.3181872945269506E-2</v>
      </c>
      <c r="R39">
        <f t="shared" si="24"/>
        <v>1.5122351703710195E-2</v>
      </c>
      <c r="S39">
        <f t="shared" si="24"/>
        <v>1.552383006752551E-2</v>
      </c>
      <c r="T39">
        <f t="shared" si="24"/>
        <v>1.920404840249923E-2</v>
      </c>
      <c r="U39">
        <f t="shared" si="24"/>
        <v>1.539000394625374E-2</v>
      </c>
      <c r="V39">
        <f t="shared" si="24"/>
        <v>2.1211440221575804E-2</v>
      </c>
      <c r="W39">
        <f t="shared" si="24"/>
        <v>2.1746744706662893E-2</v>
      </c>
      <c r="X39">
        <f t="shared" ref="X39:AO39" si="33">ABS(X83*(SIN(42*PI()/180)))</f>
        <v>1.9672439826950432E-2</v>
      </c>
      <c r="Y39">
        <f t="shared" si="33"/>
        <v>2.422252795019067E-2</v>
      </c>
      <c r="Z39">
        <f t="shared" si="33"/>
        <v>1.8601830856776257E-2</v>
      </c>
      <c r="AA39">
        <f t="shared" si="33"/>
        <v>2.1947483888570551E-2</v>
      </c>
      <c r="AB39">
        <f t="shared" si="33"/>
        <v>2.3285745101288266E-2</v>
      </c>
      <c r="AC39">
        <f t="shared" si="33"/>
        <v>2.4891658556549526E-2</v>
      </c>
      <c r="AD39">
        <f t="shared" si="33"/>
        <v>2.6029180587359584E-2</v>
      </c>
      <c r="AE39">
        <f t="shared" si="33"/>
        <v>2.3620310404467694E-2</v>
      </c>
      <c r="AF39">
        <f t="shared" si="33"/>
        <v>2.2482788373657636E-2</v>
      </c>
      <c r="AG39">
        <f t="shared" si="33"/>
        <v>1.8401091674868603E-2</v>
      </c>
      <c r="AH39">
        <f t="shared" si="33"/>
        <v>2.3954875707647125E-2</v>
      </c>
      <c r="AI39">
        <f t="shared" si="33"/>
        <v>2.6564485072446672E-2</v>
      </c>
      <c r="AJ39">
        <f t="shared" si="33"/>
        <v>2.0876874918396376E-2</v>
      </c>
      <c r="AK39">
        <f t="shared" si="33"/>
        <v>2.0943787979032263E-2</v>
      </c>
      <c r="AL39">
        <f t="shared" si="33"/>
        <v>2.7032876496897871E-2</v>
      </c>
      <c r="AM39">
        <f t="shared" si="33"/>
        <v>1.0505350519834073E-2</v>
      </c>
      <c r="AN39">
        <f t="shared" si="33"/>
        <v>1.0505350519834073E-2</v>
      </c>
      <c r="AO39">
        <f t="shared" si="33"/>
        <v>2.8973355255338562E-2</v>
      </c>
    </row>
    <row r="40" spans="1:41" x14ac:dyDescent="0.25">
      <c r="A40" s="2">
        <f t="shared" si="23"/>
        <v>19</v>
      </c>
      <c r="B40">
        <v>22</v>
      </c>
      <c r="C40" s="3">
        <v>19</v>
      </c>
      <c r="D40">
        <v>0</v>
      </c>
      <c r="E40">
        <f t="shared" si="24"/>
        <v>1.6059134552612597E-2</v>
      </c>
      <c r="F40">
        <f t="shared" si="24"/>
        <v>4.4162620019684642E-3</v>
      </c>
      <c r="G40">
        <f t="shared" si="24"/>
        <v>7.0927844274038974E-3</v>
      </c>
      <c r="H40">
        <f t="shared" si="24"/>
        <v>8.9663501252087007E-3</v>
      </c>
      <c r="I40">
        <f t="shared" si="24"/>
        <v>1.3114959884633621E-2</v>
      </c>
      <c r="J40">
        <f t="shared" si="24"/>
        <v>1.5189264764346082E-2</v>
      </c>
      <c r="K40">
        <f t="shared" si="24"/>
        <v>1.7598134947237973E-2</v>
      </c>
      <c r="L40">
        <f t="shared" si="24"/>
        <v>1.5925308431340827E-2</v>
      </c>
      <c r="M40">
        <f t="shared" si="24"/>
        <v>1.4520134157987225E-2</v>
      </c>
      <c r="N40">
        <f t="shared" si="24"/>
        <v>1.539000394625374E-2</v>
      </c>
      <c r="O40">
        <f t="shared" si="24"/>
        <v>1.6192960673884368E-2</v>
      </c>
      <c r="P40">
        <f t="shared" si="24"/>
        <v>1.4921612521802539E-2</v>
      </c>
      <c r="Q40">
        <f t="shared" si="24"/>
        <v>1.5122351703710195E-2</v>
      </c>
      <c r="R40">
        <f t="shared" si="24"/>
        <v>1.7932700250417401E-2</v>
      </c>
      <c r="S40">
        <f t="shared" si="24"/>
        <v>1.8401091674868603E-2</v>
      </c>
      <c r="T40">
        <f t="shared" si="24"/>
        <v>2.014083125140163E-2</v>
      </c>
      <c r="U40">
        <f t="shared" si="24"/>
        <v>1.7531221886602086E-2</v>
      </c>
      <c r="V40">
        <f t="shared" si="24"/>
        <v>2.0943787979032263E-2</v>
      </c>
      <c r="W40">
        <f t="shared" si="24"/>
        <v>2.2014396949206434E-2</v>
      </c>
      <c r="X40">
        <f t="shared" ref="X40:AO40" si="34">ABS(X84*(SIN(42*PI()/180)))</f>
        <v>2.0743048797124606E-2</v>
      </c>
      <c r="Y40">
        <f t="shared" si="34"/>
        <v>2.4958571617185413E-2</v>
      </c>
      <c r="Z40">
        <f t="shared" si="34"/>
        <v>2.0542309615216948E-2</v>
      </c>
      <c r="AA40">
        <f t="shared" si="34"/>
        <v>2.2549701434293523E-2</v>
      </c>
      <c r="AB40">
        <f t="shared" si="34"/>
        <v>2.4490180192734211E-2</v>
      </c>
      <c r="AC40">
        <f t="shared" si="34"/>
        <v>2.5694615284180156E-2</v>
      </c>
      <c r="AD40">
        <f t="shared" si="34"/>
        <v>2.7166702618169641E-2</v>
      </c>
      <c r="AE40">
        <f t="shared" si="34"/>
        <v>2.5360049981000728E-2</v>
      </c>
      <c r="AF40">
        <f t="shared" si="34"/>
        <v>2.3218832040652383E-2</v>
      </c>
      <c r="AG40">
        <f t="shared" si="34"/>
        <v>2.0542309615216948E-2</v>
      </c>
      <c r="AH40">
        <f t="shared" si="34"/>
        <v>2.4824745495913642E-2</v>
      </c>
      <c r="AI40">
        <f t="shared" si="34"/>
        <v>2.6363745890539012E-2</v>
      </c>
      <c r="AJ40">
        <f t="shared" si="34"/>
        <v>2.1144527160939921E-2</v>
      </c>
      <c r="AK40">
        <f t="shared" si="34"/>
        <v>2.0809961857760489E-2</v>
      </c>
      <c r="AL40">
        <f t="shared" si="34"/>
        <v>2.5627702223544272E-2</v>
      </c>
      <c r="AM40">
        <f t="shared" si="34"/>
        <v>1.170978561128002E-2</v>
      </c>
      <c r="AN40">
        <f t="shared" si="34"/>
        <v>1.170978561128002E-2</v>
      </c>
      <c r="AO40">
        <f t="shared" si="34"/>
        <v>2.8571876891523247E-2</v>
      </c>
    </row>
    <row r="41" spans="1:41" x14ac:dyDescent="0.25">
      <c r="A41" s="2">
        <f t="shared" si="23"/>
        <v>21</v>
      </c>
      <c r="B41">
        <v>24</v>
      </c>
      <c r="C41" s="3">
        <v>21</v>
      </c>
      <c r="D41">
        <v>0</v>
      </c>
      <c r="E41">
        <f t="shared" si="24"/>
        <v>1.0839915823013503E-2</v>
      </c>
      <c r="F41">
        <f t="shared" si="24"/>
        <v>3.4794791530660626E-3</v>
      </c>
      <c r="G41">
        <f t="shared" si="24"/>
        <v>7.6950019731268698E-3</v>
      </c>
      <c r="H41">
        <f t="shared" si="24"/>
        <v>1.1977437853823563E-2</v>
      </c>
      <c r="I41">
        <f t="shared" si="24"/>
        <v>1.2780394581454191E-2</v>
      </c>
      <c r="J41">
        <f t="shared" si="24"/>
        <v>1.5122351703710195E-2</v>
      </c>
      <c r="K41">
        <f t="shared" si="24"/>
        <v>1.6795178219607344E-2</v>
      </c>
      <c r="L41">
        <f t="shared" si="24"/>
        <v>1.3181872945269506E-2</v>
      </c>
      <c r="M41">
        <f t="shared" si="24"/>
        <v>1.3583351309084821E-2</v>
      </c>
      <c r="N41">
        <f t="shared" si="24"/>
        <v>1.4988525582438425E-2</v>
      </c>
      <c r="O41">
        <f t="shared" si="24"/>
        <v>1.472087333989488E-2</v>
      </c>
      <c r="P41">
        <f t="shared" si="24"/>
        <v>1.4520134157987225E-2</v>
      </c>
      <c r="Q41">
        <f t="shared" si="24"/>
        <v>1.458704721862311E-2</v>
      </c>
      <c r="R41">
        <f t="shared" si="24"/>
        <v>1.6995917401514998E-2</v>
      </c>
      <c r="S41">
        <f t="shared" si="24"/>
        <v>1.8468004735504487E-2</v>
      </c>
      <c r="T41">
        <f t="shared" si="24"/>
        <v>1.9337874523771004E-2</v>
      </c>
      <c r="U41">
        <f t="shared" si="24"/>
        <v>1.6460612916427912E-2</v>
      </c>
      <c r="V41">
        <f t="shared" si="24"/>
        <v>1.9605526766314545E-2</v>
      </c>
      <c r="W41">
        <f t="shared" si="24"/>
        <v>1.9404787584406891E-2</v>
      </c>
      <c r="X41">
        <f t="shared" ref="X41:AO41" si="35">ABS(X85*(SIN(42*PI()/180)))</f>
        <v>2.0876874918396376E-2</v>
      </c>
      <c r="Y41">
        <f t="shared" si="35"/>
        <v>2.2215136131114095E-2</v>
      </c>
      <c r="Z41">
        <f t="shared" si="35"/>
        <v>1.9806265948222206E-2</v>
      </c>
      <c r="AA41">
        <f t="shared" si="35"/>
        <v>2.0609222675852835E-2</v>
      </c>
      <c r="AB41">
        <f t="shared" si="35"/>
        <v>2.4423267132098324E-2</v>
      </c>
      <c r="AC41">
        <f t="shared" si="35"/>
        <v>2.6029180587359584E-2</v>
      </c>
      <c r="AD41">
        <f t="shared" si="35"/>
        <v>2.8036572406436162E-2</v>
      </c>
      <c r="AE41">
        <f t="shared" si="35"/>
        <v>2.8103485467072049E-2</v>
      </c>
      <c r="AF41">
        <f t="shared" si="35"/>
        <v>2.8638789952159131E-2</v>
      </c>
      <c r="AG41">
        <f t="shared" si="35"/>
        <v>2.6965963436261987E-2</v>
      </c>
      <c r="AH41">
        <f t="shared" si="35"/>
        <v>3.1783703802045767E-2</v>
      </c>
      <c r="AI41">
        <f t="shared" si="35"/>
        <v>3.4460226227481197E-2</v>
      </c>
      <c r="AJ41">
        <f t="shared" si="35"/>
        <v>3.2787399711584057E-2</v>
      </c>
      <c r="AK41">
        <f t="shared" si="35"/>
        <v>3.4928617651932399E-2</v>
      </c>
      <c r="AL41">
        <f t="shared" si="35"/>
        <v>3.9277966593264983E-2</v>
      </c>
      <c r="AM41">
        <f t="shared" si="35"/>
        <v>3.2787399711584057E-2</v>
      </c>
      <c r="AN41">
        <f t="shared" si="35"/>
        <v>3.2787399711584057E-2</v>
      </c>
      <c r="AO41">
        <f t="shared" si="35"/>
        <v>4.4229533080320536E-2</v>
      </c>
    </row>
    <row r="42" spans="1:41" x14ac:dyDescent="0.25">
      <c r="A42" s="2">
        <f t="shared" si="23"/>
        <v>23</v>
      </c>
      <c r="B42">
        <v>26</v>
      </c>
      <c r="C42" s="3">
        <v>23</v>
      </c>
      <c r="D42">
        <v>0</v>
      </c>
      <c r="E42">
        <f t="shared" si="24"/>
        <v>8.7656109433010432E-3</v>
      </c>
      <c r="F42">
        <f t="shared" si="24"/>
        <v>2.1412179403483464E-3</v>
      </c>
      <c r="G42">
        <f t="shared" si="24"/>
        <v>5.3530448508708663E-3</v>
      </c>
      <c r="H42">
        <f t="shared" si="24"/>
        <v>9.5685676709316731E-3</v>
      </c>
      <c r="I42">
        <f t="shared" si="24"/>
        <v>8.8325240039369285E-3</v>
      </c>
      <c r="J42">
        <f t="shared" si="24"/>
        <v>1.0304611337926418E-2</v>
      </c>
      <c r="K42">
        <f t="shared" si="24"/>
        <v>1.0839915823013503E-2</v>
      </c>
      <c r="L42">
        <f t="shared" si="24"/>
        <v>8.1633933975780709E-3</v>
      </c>
      <c r="M42">
        <f t="shared" si="24"/>
        <v>8.3641325794857283E-3</v>
      </c>
      <c r="N42">
        <f t="shared" si="24"/>
        <v>9.2340023677522434E-3</v>
      </c>
      <c r="O42">
        <f t="shared" si="24"/>
        <v>9.5685676709316731E-3</v>
      </c>
      <c r="P42">
        <f t="shared" si="24"/>
        <v>9.5685676709316731E-3</v>
      </c>
      <c r="Q42">
        <f t="shared" si="24"/>
        <v>1.0170785216654646E-2</v>
      </c>
      <c r="R42">
        <f t="shared" si="24"/>
        <v>1.170978561128002E-2</v>
      </c>
      <c r="S42">
        <f t="shared" si="24"/>
        <v>1.2780394581454191E-2</v>
      </c>
      <c r="T42">
        <f t="shared" si="24"/>
        <v>1.3181872945269506E-2</v>
      </c>
      <c r="U42">
        <f t="shared" si="24"/>
        <v>1.0371524398562303E-2</v>
      </c>
      <c r="V42">
        <f t="shared" si="24"/>
        <v>1.4051742733536024E-2</v>
      </c>
      <c r="W42">
        <f t="shared" si="24"/>
        <v>1.2914220702725965E-2</v>
      </c>
      <c r="X42">
        <f t="shared" ref="X42:AO42" si="36">ABS(X86*(SIN(42*PI()/180)))</f>
        <v>1.4921612521802539E-2</v>
      </c>
      <c r="Y42">
        <f t="shared" si="36"/>
        <v>1.411865579417191E-2</v>
      </c>
      <c r="Z42">
        <f t="shared" si="36"/>
        <v>1.2713481520818306E-2</v>
      </c>
      <c r="AA42">
        <f t="shared" si="36"/>
        <v>1.2044350914459448E-2</v>
      </c>
      <c r="AB42">
        <f t="shared" si="36"/>
        <v>1.6126047613248484E-2</v>
      </c>
      <c r="AC42">
        <f t="shared" si="36"/>
        <v>1.7731961068509744E-2</v>
      </c>
      <c r="AD42">
        <f t="shared" si="36"/>
        <v>1.9404787584406891E-2</v>
      </c>
      <c r="AE42">
        <f t="shared" si="36"/>
        <v>1.9137135341863346E-2</v>
      </c>
      <c r="AF42">
        <f t="shared" si="36"/>
        <v>2.1947483888570551E-2</v>
      </c>
      <c r="AG42">
        <f t="shared" si="36"/>
        <v>2.0073918190765747E-2</v>
      </c>
      <c r="AH42">
        <f t="shared" si="36"/>
        <v>2.4958571617185413E-2</v>
      </c>
      <c r="AI42">
        <f t="shared" si="36"/>
        <v>2.7835833224528501E-2</v>
      </c>
      <c r="AJ42">
        <f t="shared" si="36"/>
        <v>2.6965963436261987E-2</v>
      </c>
      <c r="AK42">
        <f t="shared" si="36"/>
        <v>2.9642485861697418E-2</v>
      </c>
      <c r="AL42">
        <f t="shared" si="36"/>
        <v>3.4192573984937656E-2</v>
      </c>
      <c r="AM42">
        <f t="shared" si="36"/>
        <v>3.1850616862681654E-2</v>
      </c>
      <c r="AN42">
        <f t="shared" si="36"/>
        <v>3.1850616862681654E-2</v>
      </c>
      <c r="AO42">
        <f t="shared" si="36"/>
        <v>3.7270574774188402E-2</v>
      </c>
    </row>
    <row r="43" spans="1:41" x14ac:dyDescent="0.25">
      <c r="A43" s="2">
        <f t="shared" si="23"/>
        <v>25</v>
      </c>
      <c r="B43">
        <v>28</v>
      </c>
      <c r="C43" s="3">
        <v>25</v>
      </c>
      <c r="D43">
        <v>0</v>
      </c>
      <c r="E43">
        <f t="shared" si="24"/>
        <v>3.6133052743378348E-3</v>
      </c>
      <c r="F43">
        <f t="shared" si="24"/>
        <v>2.9441746679789763E-3</v>
      </c>
      <c r="G43">
        <f t="shared" si="24"/>
        <v>2.4757832435277757E-3</v>
      </c>
      <c r="H43">
        <f t="shared" si="24"/>
        <v>5.6876101540502952E-3</v>
      </c>
      <c r="I43">
        <f t="shared" si="24"/>
        <v>3.9478705775172632E-3</v>
      </c>
      <c r="J43">
        <f t="shared" si="24"/>
        <v>4.2824358806966929E-3</v>
      </c>
      <c r="K43">
        <f t="shared" si="24"/>
        <v>5.8883493359579526E-3</v>
      </c>
      <c r="L43">
        <f t="shared" si="24"/>
        <v>3.2787399711584051E-3</v>
      </c>
      <c r="M43">
        <f t="shared" si="24"/>
        <v>3.6802183349737201E-3</v>
      </c>
      <c r="N43">
        <f t="shared" si="24"/>
        <v>4.6839142445120078E-3</v>
      </c>
      <c r="O43">
        <f t="shared" si="24"/>
        <v>4.0147836381531493E-3</v>
      </c>
      <c r="P43">
        <f t="shared" si="24"/>
        <v>5.3530448508708663E-3</v>
      </c>
      <c r="Q43">
        <f t="shared" si="24"/>
        <v>4.6839142445120078E-3</v>
      </c>
      <c r="R43">
        <f t="shared" si="24"/>
        <v>5.8883493359579526E-3</v>
      </c>
      <c r="S43">
        <f t="shared" si="24"/>
        <v>6.3567407604091528E-3</v>
      </c>
      <c r="T43">
        <f t="shared" si="24"/>
        <v>6.7582191242244677E-3</v>
      </c>
      <c r="U43">
        <f t="shared" si="24"/>
        <v>4.4162620019684642E-3</v>
      </c>
      <c r="V43">
        <f t="shared" si="24"/>
        <v>6.4236538210450389E-3</v>
      </c>
      <c r="W43">
        <f t="shared" si="24"/>
        <v>6.490566881680925E-3</v>
      </c>
      <c r="X43">
        <f t="shared" ref="X43:AO43" si="37">ABS(X87*(SIN(42*PI()/180)))</f>
        <v>7.6280889124909846E-3</v>
      </c>
      <c r="Y43">
        <f t="shared" si="37"/>
        <v>6.5574799423168103E-3</v>
      </c>
      <c r="Z43">
        <f t="shared" si="37"/>
        <v>5.6876101540502952E-3</v>
      </c>
      <c r="AA43">
        <f t="shared" si="37"/>
        <v>4.5500881232402356E-3</v>
      </c>
      <c r="AB43">
        <f t="shared" si="37"/>
        <v>7.9626542156704134E-3</v>
      </c>
      <c r="AC43">
        <f t="shared" si="37"/>
        <v>8.4310456401216136E-3</v>
      </c>
      <c r="AD43">
        <f t="shared" si="37"/>
        <v>8.7656109433010432E-3</v>
      </c>
      <c r="AE43">
        <f t="shared" si="37"/>
        <v>9.3009154283881287E-3</v>
      </c>
      <c r="AF43">
        <f t="shared" si="37"/>
        <v>1.1910524793187676E-2</v>
      </c>
      <c r="AG43">
        <f t="shared" si="37"/>
        <v>1.1107568065557048E-2</v>
      </c>
      <c r="AH43">
        <f t="shared" si="37"/>
        <v>1.3650264369720709E-2</v>
      </c>
      <c r="AI43">
        <f t="shared" si="37"/>
        <v>1.6527525977063799E-2</v>
      </c>
      <c r="AJ43">
        <f t="shared" si="37"/>
        <v>1.6059134552612597E-2</v>
      </c>
      <c r="AK43">
        <f t="shared" si="37"/>
        <v>1.8735656978048031E-2</v>
      </c>
      <c r="AL43">
        <f t="shared" si="37"/>
        <v>2.2750440616201181E-2</v>
      </c>
      <c r="AM43">
        <f t="shared" si="37"/>
        <v>2.2482788373657636E-2</v>
      </c>
      <c r="AN43">
        <f t="shared" si="37"/>
        <v>2.2482788373657636E-2</v>
      </c>
      <c r="AO43">
        <f t="shared" si="37"/>
        <v>2.2148223070478205E-2</v>
      </c>
    </row>
    <row r="44" spans="1:41" x14ac:dyDescent="0.25">
      <c r="A44" s="2">
        <f t="shared" si="23"/>
        <v>27</v>
      </c>
      <c r="B44">
        <v>30</v>
      </c>
      <c r="C44" s="3">
        <v>27</v>
      </c>
      <c r="D44">
        <v>0</v>
      </c>
      <c r="E44">
        <f t="shared" si="24"/>
        <v>3.8809575168813775E-3</v>
      </c>
      <c r="F44">
        <f t="shared" si="24"/>
        <v>5.7545232146861813E-3</v>
      </c>
      <c r="G44">
        <f t="shared" si="24"/>
        <v>6.022175457229724E-3</v>
      </c>
      <c r="H44">
        <f t="shared" si="24"/>
        <v>8.2972195188498413E-3</v>
      </c>
      <c r="I44">
        <f t="shared" si="24"/>
        <v>6.8920452454962399E-3</v>
      </c>
      <c r="J44">
        <f t="shared" si="24"/>
        <v>6.8920452454962399E-3</v>
      </c>
      <c r="K44">
        <f t="shared" si="24"/>
        <v>6.9589583061321252E-3</v>
      </c>
      <c r="L44">
        <f t="shared" si="24"/>
        <v>4.8177403657837792E-3</v>
      </c>
      <c r="M44">
        <f t="shared" ref="M44:AB46" si="38">ABS(M88*(SIN(42*PI()/180)))</f>
        <v>5.3530448508708663E-3</v>
      </c>
      <c r="N44">
        <f t="shared" si="38"/>
        <v>6.7582191242244677E-3</v>
      </c>
      <c r="O44">
        <f t="shared" si="38"/>
        <v>6.8251321848603547E-3</v>
      </c>
      <c r="P44">
        <f t="shared" si="38"/>
        <v>7.0927844274038974E-3</v>
      </c>
      <c r="Q44">
        <f t="shared" si="38"/>
        <v>6.490566881680925E-3</v>
      </c>
      <c r="R44">
        <f t="shared" si="38"/>
        <v>6.1560015785014953E-3</v>
      </c>
      <c r="S44">
        <f t="shared" si="38"/>
        <v>7.2935236093115549E-3</v>
      </c>
      <c r="T44">
        <f t="shared" si="38"/>
        <v>8.3641325794857283E-3</v>
      </c>
      <c r="U44">
        <f t="shared" si="38"/>
        <v>5.7545232146861813E-3</v>
      </c>
      <c r="V44">
        <f t="shared" si="38"/>
        <v>6.8251321848603547E-3</v>
      </c>
      <c r="W44">
        <f t="shared" si="38"/>
        <v>6.8251321848603547E-3</v>
      </c>
      <c r="X44">
        <f t="shared" si="38"/>
        <v>7.3604366699474401E-3</v>
      </c>
      <c r="Y44">
        <f t="shared" si="38"/>
        <v>6.8920452454962399E-3</v>
      </c>
      <c r="Z44">
        <f t="shared" si="38"/>
        <v>6.8920452454962399E-3</v>
      </c>
      <c r="AA44">
        <f t="shared" si="38"/>
        <v>7.0927844274038974E-3</v>
      </c>
      <c r="AB44">
        <f t="shared" si="38"/>
        <v>8.8325240039369285E-3</v>
      </c>
      <c r="AC44">
        <f t="shared" ref="AC44:AO44" si="39">ABS(AC88*(SIN(42*PI()/180)))</f>
        <v>9.9031329741111028E-3</v>
      </c>
      <c r="AD44">
        <f t="shared" si="39"/>
        <v>9.2340023677522434E-3</v>
      </c>
      <c r="AE44">
        <f t="shared" si="39"/>
        <v>1.0906828883649388E-2</v>
      </c>
      <c r="AF44">
        <f t="shared" si="39"/>
        <v>1.1977437853823563E-2</v>
      </c>
      <c r="AG44">
        <f t="shared" si="39"/>
        <v>1.1910524793187676E-2</v>
      </c>
      <c r="AH44">
        <f t="shared" si="39"/>
        <v>1.3984829672900136E-2</v>
      </c>
      <c r="AI44">
        <f t="shared" si="39"/>
        <v>1.4520134157987225E-2</v>
      </c>
      <c r="AJ44">
        <f t="shared" si="39"/>
        <v>1.458704721862311E-2</v>
      </c>
      <c r="AK44">
        <f t="shared" si="39"/>
        <v>1.6460612916427912E-2</v>
      </c>
      <c r="AL44">
        <f t="shared" si="39"/>
        <v>1.8735656978048031E-2</v>
      </c>
      <c r="AM44">
        <f t="shared" si="39"/>
        <v>1.7932700250417401E-2</v>
      </c>
      <c r="AN44">
        <f t="shared" si="39"/>
        <v>1.7932700250417401E-2</v>
      </c>
      <c r="AO44">
        <f t="shared" si="39"/>
        <v>1.7263569644058542E-2</v>
      </c>
    </row>
    <row r="45" spans="1:41" x14ac:dyDescent="0.25">
      <c r="D45">
        <f>AVERAGE(D30:D44)</f>
        <v>0</v>
      </c>
      <c r="E45">
        <f t="shared" ref="E45:S45" si="40">AVERAGE(E30:E44)</f>
        <v>6.6626290376017739E-3</v>
      </c>
      <c r="F45">
        <f t="shared" si="40"/>
        <v>6.9111632628207787E-3</v>
      </c>
      <c r="G45">
        <f t="shared" si="40"/>
        <v>6.6387315159461002E-3</v>
      </c>
      <c r="H45">
        <f t="shared" si="40"/>
        <v>8.2733219971941694E-3</v>
      </c>
      <c r="I45">
        <f t="shared" si="40"/>
        <v>1.0328508859582091E-2</v>
      </c>
      <c r="J45">
        <f t="shared" si="40"/>
        <v>8.6222258133670012E-3</v>
      </c>
      <c r="K45">
        <f t="shared" si="40"/>
        <v>1.2761276564129653E-2</v>
      </c>
      <c r="L45">
        <f t="shared" si="40"/>
        <v>8.703477386996292E-3</v>
      </c>
      <c r="M45">
        <f t="shared" si="40"/>
        <v>9.0428221945068558E-3</v>
      </c>
      <c r="N45">
        <f t="shared" si="40"/>
        <v>8.8898780559105457E-3</v>
      </c>
      <c r="O45">
        <f t="shared" si="40"/>
        <v>1.0686971684417191E-2</v>
      </c>
      <c r="P45">
        <f t="shared" si="40"/>
        <v>1.1169701621861801E-2</v>
      </c>
      <c r="Q45">
        <f t="shared" si="40"/>
        <v>1.2670465981838094E-2</v>
      </c>
      <c r="R45">
        <f t="shared" si="40"/>
        <v>1.4778227391868497E-2</v>
      </c>
      <c r="S45">
        <f t="shared" si="40"/>
        <v>1.7363939235012373E-2</v>
      </c>
      <c r="W45">
        <f t="shared" si="38"/>
        <v>0</v>
      </c>
      <c r="AF45">
        <f t="shared" ref="AF45:AG45" si="41">ABS(AF89*(SIN(42*PI()/180)))</f>
        <v>0</v>
      </c>
      <c r="AG45">
        <f t="shared" si="41"/>
        <v>0</v>
      </c>
    </row>
    <row r="46" spans="1:41" x14ac:dyDescent="0.25">
      <c r="D46" s="4">
        <f>D45*-1</f>
        <v>0</v>
      </c>
      <c r="E46" s="4">
        <f t="shared" ref="E46:S46" si="42">E45*-1</f>
        <v>-6.6626290376017739E-3</v>
      </c>
      <c r="F46" s="4">
        <f>F45</f>
        <v>6.9111632628207787E-3</v>
      </c>
      <c r="G46" s="4">
        <f t="shared" si="42"/>
        <v>-6.6387315159461002E-3</v>
      </c>
      <c r="H46" s="4">
        <f t="shared" si="42"/>
        <v>-8.2733219971941694E-3</v>
      </c>
      <c r="I46" s="4">
        <f t="shared" si="42"/>
        <v>-1.0328508859582091E-2</v>
      </c>
      <c r="J46" s="4">
        <f t="shared" si="42"/>
        <v>-8.6222258133670012E-3</v>
      </c>
      <c r="K46" s="4">
        <f t="shared" si="42"/>
        <v>-1.2761276564129653E-2</v>
      </c>
      <c r="L46" s="4">
        <f t="shared" si="42"/>
        <v>-8.703477386996292E-3</v>
      </c>
      <c r="M46" s="4">
        <f t="shared" si="42"/>
        <v>-9.0428221945068558E-3</v>
      </c>
      <c r="N46" s="4">
        <f t="shared" si="42"/>
        <v>-8.8898780559105457E-3</v>
      </c>
      <c r="O46" s="4">
        <f t="shared" si="42"/>
        <v>-1.0686971684417191E-2</v>
      </c>
      <c r="P46" s="4">
        <f t="shared" si="42"/>
        <v>-1.1169701621861801E-2</v>
      </c>
      <c r="Q46" s="4">
        <f t="shared" si="42"/>
        <v>-1.2670465981838094E-2</v>
      </c>
      <c r="R46" s="4">
        <f t="shared" si="42"/>
        <v>-1.4778227391868497E-2</v>
      </c>
      <c r="S46" s="4">
        <f t="shared" si="42"/>
        <v>-1.7363939235012373E-2</v>
      </c>
      <c r="W46">
        <f t="shared" si="38"/>
        <v>0</v>
      </c>
      <c r="AF46">
        <f t="shared" ref="AF46:AG46" si="43">ABS(AF90*(SIN(42*PI()/180)))</f>
        <v>0</v>
      </c>
      <c r="AG46">
        <f t="shared" si="43"/>
        <v>0</v>
      </c>
    </row>
    <row r="50" spans="5:41" x14ac:dyDescent="0.25">
      <c r="E50" s="9" t="s">
        <v>10</v>
      </c>
      <c r="F50" s="9"/>
      <c r="G50" s="9"/>
      <c r="H50" s="9"/>
      <c r="I50" s="9"/>
      <c r="J50" s="9"/>
      <c r="K50" s="9"/>
      <c r="L50" s="9"/>
    </row>
    <row r="52" spans="5:41" x14ac:dyDescent="0.25">
      <c r="E52" s="1">
        <v>43404</v>
      </c>
      <c r="F52" s="1">
        <v>43417</v>
      </c>
      <c r="G52" s="1">
        <v>43439</v>
      </c>
      <c r="H52" s="1">
        <v>43452</v>
      </c>
      <c r="I52" s="1">
        <v>43470</v>
      </c>
      <c r="J52" s="1">
        <v>43486</v>
      </c>
      <c r="K52" s="1">
        <v>43502</v>
      </c>
      <c r="L52" s="1">
        <v>43521</v>
      </c>
      <c r="M52" s="1">
        <v>43537</v>
      </c>
      <c r="N52" s="1">
        <v>43556</v>
      </c>
      <c r="O52" s="1">
        <v>43565</v>
      </c>
      <c r="P52" s="1">
        <v>43579</v>
      </c>
      <c r="Q52" s="1">
        <v>43600</v>
      </c>
      <c r="R52" s="1">
        <v>43614</v>
      </c>
      <c r="S52" s="1">
        <v>43628</v>
      </c>
      <c r="T52" s="1">
        <v>43654</v>
      </c>
      <c r="U52" s="1">
        <v>43670</v>
      </c>
      <c r="V52" s="1">
        <v>43693</v>
      </c>
      <c r="W52" s="1">
        <v>43707</v>
      </c>
      <c r="X52" s="1">
        <v>43733</v>
      </c>
      <c r="Y52" s="1">
        <v>43748</v>
      </c>
      <c r="Z52" s="1">
        <v>43770</v>
      </c>
      <c r="AA52" s="1">
        <v>43790</v>
      </c>
      <c r="AB52" s="1">
        <v>43806</v>
      </c>
      <c r="AC52" s="1">
        <v>43817</v>
      </c>
      <c r="AD52" s="1">
        <v>43839</v>
      </c>
      <c r="AE52" s="1">
        <v>43869</v>
      </c>
      <c r="AF52" s="1">
        <v>43902</v>
      </c>
      <c r="AG52" s="1">
        <v>43924</v>
      </c>
      <c r="AH52" s="5">
        <v>43953</v>
      </c>
      <c r="AI52" s="5">
        <v>43982</v>
      </c>
      <c r="AJ52" s="5">
        <v>44024</v>
      </c>
      <c r="AK52" s="1">
        <v>44078</v>
      </c>
      <c r="AL52" s="1">
        <v>44138</v>
      </c>
      <c r="AM52" s="1">
        <v>44231</v>
      </c>
      <c r="AN52" s="1">
        <v>44355</v>
      </c>
      <c r="AO52" s="1">
        <v>44613</v>
      </c>
    </row>
    <row r="53" spans="5:41" x14ac:dyDescent="0.25">
      <c r="E53">
        <v>-9.1000000000000004E-3</v>
      </c>
      <c r="F53">
        <v>-7.8100000000000003E-2</v>
      </c>
      <c r="G53">
        <v>-8.9599999999999999E-2</v>
      </c>
      <c r="H53">
        <v>-0.1163</v>
      </c>
      <c r="I53">
        <v>-0.14230000000000001</v>
      </c>
      <c r="J53">
        <v>-0.126</v>
      </c>
      <c r="K53">
        <v>-0.1474</v>
      </c>
      <c r="L53">
        <v>-0.159</v>
      </c>
      <c r="M53">
        <v>-0.1744</v>
      </c>
      <c r="N53">
        <v>-0.12239999999999999</v>
      </c>
      <c r="O53">
        <v>-0.14030000000000001</v>
      </c>
      <c r="P53">
        <v>-0.1429</v>
      </c>
      <c r="Q53">
        <v>-0.1542</v>
      </c>
      <c r="R53">
        <v>-0.15490000000000001</v>
      </c>
      <c r="S53">
        <v>-0.14480000000000001</v>
      </c>
      <c r="T53">
        <v>-0.15709999999999999</v>
      </c>
      <c r="U53">
        <v>-0.2288</v>
      </c>
      <c r="V53">
        <v>-0.2238</v>
      </c>
      <c r="W53">
        <v>-0.22059999999999999</v>
      </c>
      <c r="X53">
        <v>-0.19500000000000001</v>
      </c>
      <c r="Y53">
        <v>-0.17080000000000001</v>
      </c>
      <c r="Z53">
        <v>-0.29380000000000001</v>
      </c>
      <c r="AA53">
        <v>-0.30719999999999997</v>
      </c>
      <c r="AB53">
        <v>-0.32650000000000001</v>
      </c>
      <c r="AC53">
        <v>-0.3463</v>
      </c>
      <c r="AD53">
        <v>-0.34429999999999999</v>
      </c>
      <c r="AE53">
        <v>-0.36320000000000002</v>
      </c>
      <c r="AF53">
        <v>-0.3715</v>
      </c>
      <c r="AG53">
        <v>-0.34699999999999998</v>
      </c>
      <c r="AH53" s="6">
        <v>-0.37319999999999998</v>
      </c>
      <c r="AI53" s="6">
        <v>-0.38919999999999999</v>
      </c>
      <c r="AJ53" s="6">
        <v>-0.39379999999999998</v>
      </c>
      <c r="AK53">
        <v>-0.43519999999999998</v>
      </c>
      <c r="AL53">
        <v>-0.50800000000000001</v>
      </c>
      <c r="AM53">
        <v>-0.53169999999999995</v>
      </c>
      <c r="AN53">
        <v>-0.53169999999999995</v>
      </c>
      <c r="AO53">
        <v>-0.65280000000000005</v>
      </c>
    </row>
    <row r="54" spans="5:41" x14ac:dyDescent="0.25">
      <c r="E54">
        <v>6.1999999999999998E-3</v>
      </c>
      <c r="F54">
        <v>-5.3E-3</v>
      </c>
      <c r="G54">
        <v>-1.9599999999999999E-2</v>
      </c>
      <c r="H54">
        <v>-3.9100000000000003E-2</v>
      </c>
      <c r="I54">
        <v>-5.33E-2</v>
      </c>
      <c r="J54">
        <v>-4.5400000000000003E-2</v>
      </c>
      <c r="K54">
        <v>-5.9200000000000003E-2</v>
      </c>
      <c r="L54">
        <v>-6.4199999999999993E-2</v>
      </c>
      <c r="M54">
        <v>-7.2800000000000004E-2</v>
      </c>
      <c r="N54">
        <v>-6.0699999999999997E-2</v>
      </c>
      <c r="O54">
        <v>-7.3200000000000001E-2</v>
      </c>
      <c r="P54">
        <v>-7.3200000000000001E-2</v>
      </c>
      <c r="Q54">
        <v>-8.72E-2</v>
      </c>
      <c r="R54">
        <v>-8.8200000000000001E-2</v>
      </c>
      <c r="S54">
        <v>-8.6599999999999996E-2</v>
      </c>
      <c r="T54">
        <v>-9.1899999999999996E-2</v>
      </c>
      <c r="U54">
        <v>-0.1115</v>
      </c>
      <c r="V54">
        <v>-0.1133</v>
      </c>
      <c r="W54">
        <v>-0.1158</v>
      </c>
      <c r="X54">
        <v>-9.74E-2</v>
      </c>
      <c r="Y54">
        <v>-8.2699999999999996E-2</v>
      </c>
      <c r="Z54">
        <v>-0.1225</v>
      </c>
      <c r="AA54">
        <v>-0.1457</v>
      </c>
      <c r="AB54">
        <v>-0.15140000000000001</v>
      </c>
      <c r="AC54">
        <v>-0.1615</v>
      </c>
      <c r="AD54">
        <v>-0.17219999999999999</v>
      </c>
      <c r="AE54">
        <v>-0.17949999999999999</v>
      </c>
      <c r="AF54">
        <v>-0.18679999999999999</v>
      </c>
      <c r="AG54">
        <v>-0.1782</v>
      </c>
      <c r="AH54" s="6">
        <v>-0.19550000000000001</v>
      </c>
      <c r="AI54" s="6">
        <v>-0.2014</v>
      </c>
      <c r="AJ54" s="6">
        <v>-0.20050000000000001</v>
      </c>
      <c r="AK54">
        <v>-0.21299999999999999</v>
      </c>
      <c r="AL54">
        <v>-0.2462</v>
      </c>
      <c r="AM54">
        <v>-0.25819999999999999</v>
      </c>
      <c r="AN54">
        <v>-0.25819999999999999</v>
      </c>
      <c r="AO54">
        <v>-0.317</v>
      </c>
    </row>
    <row r="55" spans="5:41" x14ac:dyDescent="0.25">
      <c r="E55">
        <v>-7.3000000000000001E-3</v>
      </c>
      <c r="F55">
        <v>-1E-3</v>
      </c>
      <c r="G55">
        <v>-1.6000000000000001E-3</v>
      </c>
      <c r="H55">
        <v>-1.3599999999999999E-2</v>
      </c>
      <c r="I55">
        <v>-2.12E-2</v>
      </c>
      <c r="J55">
        <v>-1.4200000000000001E-2</v>
      </c>
      <c r="K55">
        <v>-2.8299999999999999E-2</v>
      </c>
      <c r="L55">
        <v>-2.9600000000000001E-2</v>
      </c>
      <c r="M55">
        <v>-3.4799999999999998E-2</v>
      </c>
      <c r="N55">
        <v>-3.0599999999999999E-2</v>
      </c>
      <c r="O55">
        <v>-4.1300000000000003E-2</v>
      </c>
      <c r="P55">
        <v>-3.9600000000000003E-2</v>
      </c>
      <c r="Q55">
        <v>-4.8800000000000003E-2</v>
      </c>
      <c r="R55">
        <v>-5.1799999999999999E-2</v>
      </c>
      <c r="S55">
        <v>-5.1799999999999999E-2</v>
      </c>
      <c r="T55">
        <v>-5.7700000000000001E-2</v>
      </c>
      <c r="U55">
        <v>-5.9799999999999999E-2</v>
      </c>
      <c r="V55">
        <v>-6.5600000000000006E-2</v>
      </c>
      <c r="W55">
        <v>-6.7100000000000007E-2</v>
      </c>
      <c r="X55">
        <v>-5.9900000000000002E-2</v>
      </c>
      <c r="Y55">
        <v>-5.7700000000000001E-2</v>
      </c>
      <c r="Z55">
        <v>-6.2899999999999998E-2</v>
      </c>
      <c r="AA55">
        <v>-7.5200000000000003E-2</v>
      </c>
      <c r="AB55">
        <v>-7.2499999999999995E-2</v>
      </c>
      <c r="AC55">
        <v>-7.7499999999999999E-2</v>
      </c>
      <c r="AD55">
        <v>-8.5599999999999996E-2</v>
      </c>
      <c r="AE55">
        <v>-8.7999999999999995E-2</v>
      </c>
      <c r="AF55">
        <v>-9.3100000000000002E-2</v>
      </c>
      <c r="AG55">
        <v>-8.5400000000000004E-2</v>
      </c>
      <c r="AH55" s="6">
        <v>-9.9599999999999994E-2</v>
      </c>
      <c r="AI55" s="6">
        <v>-0.1033</v>
      </c>
      <c r="AJ55" s="6">
        <v>-0.1075</v>
      </c>
      <c r="AK55">
        <v>-0.1026</v>
      </c>
      <c r="AL55">
        <v>-0.1159</v>
      </c>
      <c r="AM55">
        <v>-0.10970000000000001</v>
      </c>
      <c r="AN55">
        <v>-0.10970000000000001</v>
      </c>
      <c r="AO55">
        <v>-0.14680000000000001</v>
      </c>
    </row>
    <row r="56" spans="5:41" x14ac:dyDescent="0.25">
      <c r="E56">
        <v>-2.3E-3</v>
      </c>
      <c r="F56">
        <v>3.0000000000000001E-3</v>
      </c>
      <c r="G56">
        <v>4.0000000000000002E-4</v>
      </c>
      <c r="H56">
        <v>-1.12E-2</v>
      </c>
      <c r="I56">
        <v>-1.8100000000000002E-2</v>
      </c>
      <c r="J56">
        <v>-1.06E-2</v>
      </c>
      <c r="K56">
        <v>-2.4799999999999999E-2</v>
      </c>
      <c r="L56">
        <v>-2.3599999999999999E-2</v>
      </c>
      <c r="M56">
        <v>-2.58E-2</v>
      </c>
      <c r="N56">
        <v>-2.1399999999999999E-2</v>
      </c>
      <c r="O56">
        <v>-3.0800000000000001E-2</v>
      </c>
      <c r="P56">
        <v>-2.8799999999999999E-2</v>
      </c>
      <c r="Q56">
        <v>-3.6700000000000003E-2</v>
      </c>
      <c r="R56">
        <v>-3.9199999999999999E-2</v>
      </c>
      <c r="S56">
        <v>-3.9E-2</v>
      </c>
      <c r="T56">
        <v>-4.3900000000000002E-2</v>
      </c>
      <c r="U56">
        <v>-4.6100000000000002E-2</v>
      </c>
      <c r="V56">
        <v>-5.1499999999999997E-2</v>
      </c>
      <c r="W56">
        <v>-5.2999999999999999E-2</v>
      </c>
      <c r="X56">
        <v>-4.8800000000000003E-2</v>
      </c>
      <c r="Y56">
        <v>-4.8399999999999999E-2</v>
      </c>
      <c r="Z56">
        <v>-5.0299999999999997E-2</v>
      </c>
      <c r="AA56">
        <v>-6.3500000000000001E-2</v>
      </c>
      <c r="AB56">
        <v>-6.0400000000000002E-2</v>
      </c>
      <c r="AC56">
        <v>-6.5600000000000006E-2</v>
      </c>
      <c r="AD56">
        <v>-7.2800000000000004E-2</v>
      </c>
      <c r="AE56">
        <v>-7.3800000000000004E-2</v>
      </c>
      <c r="AF56">
        <v>-7.7600000000000002E-2</v>
      </c>
      <c r="AG56">
        <v>-6.9599999999999995E-2</v>
      </c>
      <c r="AH56" s="6">
        <v>-8.3400000000000002E-2</v>
      </c>
      <c r="AI56" s="6">
        <v>-8.7999999999999995E-2</v>
      </c>
      <c r="AJ56" s="6">
        <v>-9.3200000000000005E-2</v>
      </c>
      <c r="AK56">
        <v>-8.9399999999999993E-2</v>
      </c>
      <c r="AL56">
        <v>-0.1037</v>
      </c>
      <c r="AM56">
        <v>-9.6500000000000002E-2</v>
      </c>
      <c r="AN56">
        <v>-9.6500000000000002E-2</v>
      </c>
      <c r="AO56">
        <v>-0.1295</v>
      </c>
    </row>
    <row r="57" spans="5:41" x14ac:dyDescent="0.25">
      <c r="E57">
        <v>3.7000000000000002E-3</v>
      </c>
      <c r="F57">
        <v>8.2000000000000007E-3</v>
      </c>
      <c r="G57">
        <v>4.0000000000000001E-3</v>
      </c>
      <c r="H57">
        <v>-8.5000000000000006E-3</v>
      </c>
      <c r="I57">
        <v>-1.54E-2</v>
      </c>
      <c r="J57">
        <v>-7.6E-3</v>
      </c>
      <c r="K57">
        <v>-2.1100000000000001E-2</v>
      </c>
      <c r="L57">
        <v>-1.84E-2</v>
      </c>
      <c r="M57">
        <v>-1.9199999999999998E-2</v>
      </c>
      <c r="N57">
        <v>-1.3599999999999999E-2</v>
      </c>
      <c r="O57">
        <v>-2.1600000000000001E-2</v>
      </c>
      <c r="P57">
        <v>-1.9199999999999998E-2</v>
      </c>
      <c r="Q57">
        <v>-2.58E-2</v>
      </c>
      <c r="R57">
        <v>-2.81E-2</v>
      </c>
      <c r="S57">
        <v>-2.7799999999999998E-2</v>
      </c>
      <c r="T57">
        <v>-3.2599999999999997E-2</v>
      </c>
      <c r="U57">
        <v>-3.5499999999999997E-2</v>
      </c>
      <c r="V57">
        <v>-4.0399999999999998E-2</v>
      </c>
      <c r="W57">
        <v>-4.1799999999999997E-2</v>
      </c>
      <c r="X57">
        <v>-3.7400000000000003E-2</v>
      </c>
      <c r="Y57">
        <v>-3.78E-2</v>
      </c>
      <c r="Z57">
        <v>-3.8399999999999997E-2</v>
      </c>
      <c r="AA57">
        <v>-5.0599999999999999E-2</v>
      </c>
      <c r="AB57">
        <v>-4.7300000000000002E-2</v>
      </c>
      <c r="AC57">
        <v>-5.33E-2</v>
      </c>
      <c r="AD57">
        <v>-5.9200000000000003E-2</v>
      </c>
      <c r="AE57">
        <v>-5.8400000000000001E-2</v>
      </c>
      <c r="AF57">
        <v>-6.0199999999999997E-2</v>
      </c>
      <c r="AG57">
        <v>-5.16E-2</v>
      </c>
      <c r="AH57" s="6">
        <v>-6.3399999999999998E-2</v>
      </c>
      <c r="AI57" s="6">
        <v>-6.8599999999999994E-2</v>
      </c>
      <c r="AJ57" s="6">
        <v>-7.3400000000000007E-2</v>
      </c>
      <c r="AK57">
        <v>-6.8400000000000002E-2</v>
      </c>
      <c r="AL57">
        <v>-8.2299999999999998E-2</v>
      </c>
      <c r="AM57">
        <v>-7.6600000000000001E-2</v>
      </c>
      <c r="AN57">
        <v>-7.6600000000000001E-2</v>
      </c>
      <c r="AO57">
        <v>-0.10680000000000001</v>
      </c>
    </row>
    <row r="58" spans="5:41" x14ac:dyDescent="0.25">
      <c r="E58">
        <v>-3.5999999999999999E-3</v>
      </c>
      <c r="F58">
        <v>5.0000000000000001E-4</v>
      </c>
      <c r="G58">
        <v>-2.2000000000000001E-3</v>
      </c>
      <c r="H58">
        <v>-1.4800000000000001E-2</v>
      </c>
      <c r="I58">
        <v>-2.1399999999999999E-2</v>
      </c>
      <c r="J58">
        <v>-1.37E-2</v>
      </c>
      <c r="K58">
        <v>-2.69E-2</v>
      </c>
      <c r="L58">
        <v>-2.41E-2</v>
      </c>
      <c r="M58">
        <v>-2.4799999999999999E-2</v>
      </c>
      <c r="N58">
        <v>-1.9300000000000001E-2</v>
      </c>
      <c r="O58">
        <v>-2.64E-2</v>
      </c>
      <c r="P58">
        <v>-2.3599999999999999E-2</v>
      </c>
      <c r="Q58">
        <v>-2.9899999999999999E-2</v>
      </c>
      <c r="R58">
        <v>-3.2300000000000002E-2</v>
      </c>
      <c r="S58">
        <v>-3.1699999999999999E-2</v>
      </c>
      <c r="T58">
        <v>-3.6499999999999998E-2</v>
      </c>
      <c r="U58">
        <v>-3.95E-2</v>
      </c>
      <c r="V58">
        <v>-4.3999999999999997E-2</v>
      </c>
      <c r="W58">
        <v>-4.4499999999999998E-2</v>
      </c>
      <c r="X58">
        <v>-4.19E-2</v>
      </c>
      <c r="Y58">
        <v>-4.1599999999999998E-2</v>
      </c>
      <c r="Z58">
        <v>-4.0899999999999999E-2</v>
      </c>
      <c r="AA58">
        <v>-5.1200000000000002E-2</v>
      </c>
      <c r="AB58">
        <v>-4.8000000000000001E-2</v>
      </c>
      <c r="AC58">
        <v>-5.3499999999999999E-2</v>
      </c>
      <c r="AD58">
        <v>-5.9200000000000003E-2</v>
      </c>
      <c r="AE58">
        <v>-5.8200000000000002E-2</v>
      </c>
      <c r="AF58">
        <v>-5.9200000000000003E-2</v>
      </c>
      <c r="AG58">
        <v>-5.0299999999999997E-2</v>
      </c>
      <c r="AH58" s="6">
        <v>-6.13E-2</v>
      </c>
      <c r="AI58" s="6">
        <v>-6.7199999999999996E-2</v>
      </c>
      <c r="AJ58" s="6">
        <v>-7.1599999999999997E-2</v>
      </c>
      <c r="AK58">
        <v>-6.6199999999999995E-2</v>
      </c>
      <c r="AL58">
        <v>-7.85E-2</v>
      </c>
      <c r="AM58">
        <v>-7.1999999999999995E-2</v>
      </c>
      <c r="AN58">
        <v>-7.1999999999999995E-2</v>
      </c>
      <c r="AO58">
        <v>-9.8599999999999993E-2</v>
      </c>
    </row>
    <row r="59" spans="5:41" x14ac:dyDescent="0.25">
      <c r="E59">
        <v>-7.1999999999999998E-3</v>
      </c>
      <c r="F59">
        <v>-1.4E-3</v>
      </c>
      <c r="G59">
        <v>-4.1000000000000003E-3</v>
      </c>
      <c r="H59">
        <v>-1.4E-2</v>
      </c>
      <c r="I59">
        <v>-2.12E-2</v>
      </c>
      <c r="J59">
        <v>-1.38E-2</v>
      </c>
      <c r="K59">
        <v>-2.58E-2</v>
      </c>
      <c r="L59">
        <v>-2.3599999999999999E-2</v>
      </c>
      <c r="M59">
        <v>-2.47E-2</v>
      </c>
      <c r="N59">
        <v>-1.9900000000000001E-2</v>
      </c>
      <c r="O59">
        <v>-2.76E-2</v>
      </c>
      <c r="P59">
        <v>-2.4199999999999999E-2</v>
      </c>
      <c r="Q59">
        <v>-2.8799999999999999E-2</v>
      </c>
      <c r="R59">
        <v>-3.2000000000000001E-2</v>
      </c>
      <c r="S59">
        <v>-3.0800000000000001E-2</v>
      </c>
      <c r="T59">
        <v>-3.5799999999999998E-2</v>
      </c>
      <c r="U59">
        <v>-3.7600000000000001E-2</v>
      </c>
      <c r="V59">
        <v>-4.3700000000000003E-2</v>
      </c>
      <c r="W59">
        <v>-4.3099999999999999E-2</v>
      </c>
      <c r="X59">
        <v>-4.0800000000000003E-2</v>
      </c>
      <c r="Y59">
        <v>-4.07E-2</v>
      </c>
      <c r="Z59">
        <v>-3.8800000000000001E-2</v>
      </c>
      <c r="AA59">
        <v>-4.6800000000000001E-2</v>
      </c>
      <c r="AB59">
        <v>-4.4200000000000003E-2</v>
      </c>
      <c r="AC59">
        <v>-4.9200000000000001E-2</v>
      </c>
      <c r="AD59">
        <v>-5.3999999999999999E-2</v>
      </c>
      <c r="AE59">
        <v>-5.3900000000000003E-2</v>
      </c>
      <c r="AF59">
        <v>-5.5E-2</v>
      </c>
      <c r="AG59">
        <v>-4.5999999999999999E-2</v>
      </c>
      <c r="AH59" s="6">
        <v>-5.62E-2</v>
      </c>
      <c r="AI59" s="6">
        <v>-6.2300000000000001E-2</v>
      </c>
      <c r="AJ59" s="6">
        <v>-6.6000000000000003E-2</v>
      </c>
      <c r="AK59">
        <v>-6.1100000000000002E-2</v>
      </c>
      <c r="AL59">
        <v>-7.1800000000000003E-2</v>
      </c>
      <c r="AM59">
        <v>-6.3100000000000003E-2</v>
      </c>
      <c r="AN59">
        <v>-6.3100000000000003E-2</v>
      </c>
      <c r="AO59">
        <v>-8.5099999999999995E-2</v>
      </c>
    </row>
    <row r="60" spans="5:41" x14ac:dyDescent="0.25">
      <c r="E60">
        <v>-1.52E-2</v>
      </c>
      <c r="F60">
        <v>-8.0000000000000002E-3</v>
      </c>
      <c r="G60">
        <v>-1.06E-2</v>
      </c>
      <c r="H60">
        <v>-2.3199999999999998E-2</v>
      </c>
      <c r="I60">
        <v>-2.8000000000000001E-2</v>
      </c>
      <c r="J60">
        <v>-2.0299999999999999E-2</v>
      </c>
      <c r="K60">
        <v>-3.1600000000000003E-2</v>
      </c>
      <c r="L60">
        <v>-2.8400000000000002E-2</v>
      </c>
      <c r="M60">
        <v>-3.1199999999999999E-2</v>
      </c>
      <c r="N60">
        <v>-2.81E-2</v>
      </c>
      <c r="O60">
        <v>-3.5400000000000001E-2</v>
      </c>
      <c r="P60">
        <v>-3.2000000000000001E-2</v>
      </c>
      <c r="Q60">
        <v>-3.6600000000000001E-2</v>
      </c>
      <c r="R60">
        <v>-3.9399999999999998E-2</v>
      </c>
      <c r="S60">
        <v>-3.9E-2</v>
      </c>
      <c r="T60">
        <v>-4.3999999999999997E-2</v>
      </c>
      <c r="U60">
        <v>-4.3700000000000003E-2</v>
      </c>
      <c r="V60">
        <v>-5.04E-2</v>
      </c>
      <c r="W60">
        <v>-4.9200000000000001E-2</v>
      </c>
      <c r="X60">
        <v>-4.8399999999999999E-2</v>
      </c>
      <c r="Y60">
        <v>-4.6399999999999997E-2</v>
      </c>
      <c r="Z60">
        <v>-4.2799999999999998E-2</v>
      </c>
      <c r="AA60">
        <v>-4.8800000000000003E-2</v>
      </c>
      <c r="AB60">
        <v>-4.8599999999999997E-2</v>
      </c>
      <c r="AC60">
        <v>-5.2600000000000001E-2</v>
      </c>
      <c r="AD60">
        <v>-5.8099999999999999E-2</v>
      </c>
      <c r="AE60">
        <v>-6.0400000000000002E-2</v>
      </c>
      <c r="AF60">
        <v>-6.4299999999999996E-2</v>
      </c>
      <c r="AG60">
        <v>-5.57E-2</v>
      </c>
      <c r="AH60" s="6">
        <v>-6.5600000000000006E-2</v>
      </c>
      <c r="AI60" s="6">
        <v>-7.3099999999999998E-2</v>
      </c>
      <c r="AJ60" s="6">
        <v>-7.7899999999999997E-2</v>
      </c>
      <c r="AK60">
        <v>-7.5200000000000003E-2</v>
      </c>
      <c r="AL60">
        <v>-8.5599999999999996E-2</v>
      </c>
      <c r="AM60">
        <v>-8.2900000000000001E-2</v>
      </c>
      <c r="AN60">
        <v>-8.2900000000000001E-2</v>
      </c>
      <c r="AO60">
        <v>-0.1012</v>
      </c>
    </row>
    <row r="61" spans="5:41" x14ac:dyDescent="0.25">
      <c r="E61">
        <v>-4.0000000000000001E-3</v>
      </c>
      <c r="F61">
        <v>6.9999999999999999E-4</v>
      </c>
      <c r="G61">
        <v>-2.8999999999999998E-3</v>
      </c>
      <c r="H61">
        <v>-1.8800000000000001E-2</v>
      </c>
      <c r="I61">
        <v>-1.9300000000000001E-2</v>
      </c>
      <c r="J61">
        <v>-1.1900000000000001E-2</v>
      </c>
      <c r="K61">
        <v>-2.1499999999999998E-2</v>
      </c>
      <c r="L61">
        <v>-1.6899999999999998E-2</v>
      </c>
      <c r="M61">
        <v>-2.1499999999999998E-2</v>
      </c>
      <c r="N61">
        <v>-1.9300000000000001E-2</v>
      </c>
      <c r="O61">
        <v>-2.7099999999999999E-2</v>
      </c>
      <c r="P61">
        <v>-2.3199999999999998E-2</v>
      </c>
      <c r="Q61">
        <v>-2.64E-2</v>
      </c>
      <c r="R61">
        <v>-3.0099999999999998E-2</v>
      </c>
      <c r="S61">
        <v>-2.92E-2</v>
      </c>
      <c r="T61">
        <v>-3.5200000000000002E-2</v>
      </c>
      <c r="U61">
        <v>-3.3000000000000002E-2</v>
      </c>
      <c r="V61">
        <v>-3.9699999999999999E-2</v>
      </c>
      <c r="W61">
        <v>-3.8399999999999997E-2</v>
      </c>
      <c r="X61">
        <v>-3.9100000000000003E-2</v>
      </c>
      <c r="Y61">
        <v>-3.5999999999999997E-2</v>
      </c>
      <c r="Z61">
        <v>-3.2300000000000002E-2</v>
      </c>
      <c r="AA61">
        <v>-3.6400000000000002E-2</v>
      </c>
      <c r="AB61">
        <v>-3.9800000000000002E-2</v>
      </c>
      <c r="AC61">
        <v>-4.2200000000000001E-2</v>
      </c>
      <c r="AD61">
        <v>-5.0200000000000002E-2</v>
      </c>
      <c r="AE61">
        <v>-5.4199999999999998E-2</v>
      </c>
      <c r="AF61">
        <v>-6.2600000000000003E-2</v>
      </c>
      <c r="AG61">
        <v>-5.4399999999999997E-2</v>
      </c>
      <c r="AH61" s="6">
        <v>-6.4399999999999999E-2</v>
      </c>
      <c r="AI61" s="6">
        <v>-7.4499999999999997E-2</v>
      </c>
      <c r="AJ61" s="6">
        <v>-8.1600000000000006E-2</v>
      </c>
      <c r="AK61">
        <v>-8.2299999999999998E-2</v>
      </c>
      <c r="AL61">
        <v>-9.2399999999999996E-2</v>
      </c>
      <c r="AM61">
        <v>-0.1008</v>
      </c>
      <c r="AN61">
        <v>-0.1008</v>
      </c>
      <c r="AO61">
        <v>-0.1123</v>
      </c>
    </row>
    <row r="62" spans="5:41" x14ac:dyDescent="0.25">
      <c r="E62">
        <v>8.9999999999999993E-3</v>
      </c>
      <c r="F62">
        <v>1.2E-2</v>
      </c>
      <c r="G62">
        <v>7.3000000000000001E-3</v>
      </c>
      <c r="H62">
        <v>-7.7999999999999996E-3</v>
      </c>
      <c r="I62">
        <v>-6.4999999999999997E-3</v>
      </c>
      <c r="J62">
        <v>2.3E-3</v>
      </c>
      <c r="K62">
        <v>-7.7999999999999996E-3</v>
      </c>
      <c r="L62">
        <v>-3.8E-3</v>
      </c>
      <c r="M62">
        <v>-8.9999999999999993E-3</v>
      </c>
      <c r="N62">
        <v>-5.3E-3</v>
      </c>
      <c r="O62">
        <v>-1.2699999999999999E-2</v>
      </c>
      <c r="P62">
        <v>-9.4000000000000004E-3</v>
      </c>
      <c r="Q62">
        <v>-1.32E-2</v>
      </c>
      <c r="R62">
        <v>-1.6199999999999999E-2</v>
      </c>
      <c r="S62">
        <v>-1.61E-2</v>
      </c>
      <c r="T62">
        <v>-2.0199999999999999E-2</v>
      </c>
      <c r="U62">
        <v>-1.7999999999999999E-2</v>
      </c>
      <c r="V62">
        <v>-2.3400000000000001E-2</v>
      </c>
      <c r="W62">
        <v>-2.24E-2</v>
      </c>
      <c r="X62">
        <v>-2.3800000000000002E-2</v>
      </c>
      <c r="Y62">
        <v>-2.1000000000000001E-2</v>
      </c>
      <c r="Z62">
        <v>-1.67E-2</v>
      </c>
      <c r="AA62">
        <v>-2.0799999999999999E-2</v>
      </c>
      <c r="AB62">
        <v>-2.3599999999999999E-2</v>
      </c>
      <c r="AC62">
        <v>-2.58E-2</v>
      </c>
      <c r="AD62">
        <v>-3.5400000000000001E-2</v>
      </c>
      <c r="AE62">
        <v>-3.9399999999999998E-2</v>
      </c>
      <c r="AF62">
        <v>-4.8599999999999997E-2</v>
      </c>
      <c r="AG62">
        <v>-4.1500000000000002E-2</v>
      </c>
      <c r="AH62" s="6">
        <v>-5.0500000000000003E-2</v>
      </c>
      <c r="AI62" s="6">
        <v>-6.0699999999999997E-2</v>
      </c>
      <c r="AJ62" s="6">
        <v>-6.7000000000000004E-2</v>
      </c>
      <c r="AK62">
        <v>-7.0099999999999996E-2</v>
      </c>
      <c r="AL62">
        <v>-7.9000000000000001E-2</v>
      </c>
      <c r="AM62">
        <v>-9.35E-2</v>
      </c>
      <c r="AN62">
        <v>-9.35E-2</v>
      </c>
      <c r="AO62">
        <v>-9.9400000000000002E-2</v>
      </c>
    </row>
    <row r="63" spans="5:41" x14ac:dyDescent="0.25">
      <c r="E63">
        <v>2.5999999999999999E-3</v>
      </c>
      <c r="F63">
        <v>7.1000000000000004E-3</v>
      </c>
      <c r="G63">
        <v>1.2999999999999999E-3</v>
      </c>
      <c r="H63">
        <v>-8.8000000000000005E-3</v>
      </c>
      <c r="I63">
        <v>-8.2000000000000007E-3</v>
      </c>
      <c r="J63">
        <v>-6.0000000000000001E-3</v>
      </c>
      <c r="K63">
        <v>-1.06E-2</v>
      </c>
      <c r="L63">
        <v>-7.6E-3</v>
      </c>
      <c r="M63">
        <v>-1.18E-2</v>
      </c>
      <c r="N63">
        <v>-8.8999999999999999E-3</v>
      </c>
      <c r="O63">
        <v>-1.52E-2</v>
      </c>
      <c r="P63">
        <v>-1.21E-2</v>
      </c>
      <c r="Q63">
        <v>-1.54E-2</v>
      </c>
      <c r="R63">
        <v>-1.8700000000000001E-2</v>
      </c>
      <c r="S63">
        <v>-1.7399999999999999E-2</v>
      </c>
      <c r="T63">
        <v>-2.1100000000000001E-2</v>
      </c>
      <c r="U63">
        <v>-0.02</v>
      </c>
      <c r="V63">
        <v>-2.3800000000000002E-2</v>
      </c>
      <c r="W63">
        <v>-2.23E-2</v>
      </c>
      <c r="X63">
        <v>-2.4E-2</v>
      </c>
      <c r="Y63">
        <v>-2.3E-2</v>
      </c>
      <c r="Z63">
        <v>-1.9099999999999999E-2</v>
      </c>
      <c r="AA63">
        <v>-2.18E-2</v>
      </c>
      <c r="AB63">
        <v>-2.4400000000000002E-2</v>
      </c>
      <c r="AC63">
        <v>-2.5700000000000001E-2</v>
      </c>
      <c r="AD63">
        <v>-3.4000000000000002E-2</v>
      </c>
      <c r="AE63">
        <v>-3.7400000000000003E-2</v>
      </c>
      <c r="AF63">
        <v>-4.3700000000000003E-2</v>
      </c>
      <c r="AG63">
        <v>-3.8800000000000001E-2</v>
      </c>
      <c r="AH63" s="6">
        <v>-4.5400000000000003E-2</v>
      </c>
      <c r="AI63" s="6">
        <v>-5.33E-2</v>
      </c>
      <c r="AJ63" s="6">
        <v>-5.8299999999999998E-2</v>
      </c>
      <c r="AK63">
        <v>-6.0699999999999997E-2</v>
      </c>
      <c r="AL63">
        <v>-6.7400000000000002E-2</v>
      </c>
      <c r="AM63">
        <v>-7.85E-2</v>
      </c>
      <c r="AN63">
        <v>-7.85E-2</v>
      </c>
      <c r="AO63">
        <v>-8.5699999999999998E-2</v>
      </c>
    </row>
    <row r="64" spans="5:41" x14ac:dyDescent="0.25">
      <c r="E64">
        <v>3.7000000000000002E-3</v>
      </c>
      <c r="F64">
        <v>7.7999999999999996E-3</v>
      </c>
      <c r="G64">
        <v>2.2000000000000001E-3</v>
      </c>
      <c r="H64">
        <v>-1.8E-3</v>
      </c>
      <c r="I64">
        <v>-4.5999999999999999E-3</v>
      </c>
      <c r="J64">
        <v>-2.3E-3</v>
      </c>
      <c r="K64">
        <v>-7.0000000000000001E-3</v>
      </c>
      <c r="L64">
        <v>-6.7000000000000002E-3</v>
      </c>
      <c r="M64">
        <v>-9.5999999999999992E-3</v>
      </c>
      <c r="N64">
        <v>-6.4999999999999997E-3</v>
      </c>
      <c r="O64">
        <v>-1.2E-2</v>
      </c>
      <c r="P64">
        <v>-9.1999999999999998E-3</v>
      </c>
      <c r="Q64">
        <v>-1.15E-2</v>
      </c>
      <c r="R64">
        <v>-1.4500000000000001E-2</v>
      </c>
      <c r="S64">
        <v>-1.26E-2</v>
      </c>
      <c r="T64">
        <v>-1.4500000000000001E-2</v>
      </c>
      <c r="U64">
        <v>-1.49E-2</v>
      </c>
      <c r="V64">
        <v>-1.8499999999999999E-2</v>
      </c>
      <c r="W64">
        <v>-1.6199999999999999E-2</v>
      </c>
      <c r="X64">
        <v>-1.66E-2</v>
      </c>
      <c r="Y64">
        <v>-1.7999999999999999E-2</v>
      </c>
      <c r="Z64">
        <v>-1.37E-2</v>
      </c>
      <c r="AA64">
        <v>-1.6899999999999998E-2</v>
      </c>
      <c r="AB64">
        <v>-1.7000000000000001E-2</v>
      </c>
      <c r="AC64">
        <v>-1.78E-2</v>
      </c>
      <c r="AD64">
        <v>-2.3E-2</v>
      </c>
      <c r="AE64">
        <v>-2.47E-2</v>
      </c>
      <c r="AF64">
        <v>-2.8299999999999999E-2</v>
      </c>
      <c r="AG64">
        <v>-2.3400000000000001E-2</v>
      </c>
      <c r="AH64" s="6">
        <v>-2.8799999999999999E-2</v>
      </c>
      <c r="AI64" s="6">
        <v>-3.3500000000000002E-2</v>
      </c>
      <c r="AJ64" s="6">
        <v>-3.5900000000000001E-2</v>
      </c>
      <c r="AK64">
        <v>-3.49E-2</v>
      </c>
      <c r="AL64">
        <v>-3.8899999999999997E-2</v>
      </c>
      <c r="AM64">
        <v>-3.9E-2</v>
      </c>
      <c r="AN64">
        <v>-3.9E-2</v>
      </c>
      <c r="AO64">
        <v>-5.2699999999999997E-2</v>
      </c>
    </row>
    <row r="65" spans="5:41" x14ac:dyDescent="0.25">
      <c r="E65">
        <v>6.0000000000000001E-3</v>
      </c>
      <c r="F65">
        <v>7.6E-3</v>
      </c>
      <c r="G65">
        <v>4.7999999999999996E-3</v>
      </c>
      <c r="H65">
        <v>1.2999999999999999E-3</v>
      </c>
      <c r="I65">
        <v>6.9999999999999999E-4</v>
      </c>
      <c r="J65">
        <v>2.5999999999999999E-3</v>
      </c>
      <c r="K65">
        <v>-1.6999999999999999E-3</v>
      </c>
      <c r="L65">
        <v>-1.1000000000000001E-3</v>
      </c>
      <c r="M65">
        <v>-3.5000000000000001E-3</v>
      </c>
      <c r="N65">
        <v>-1.6000000000000001E-3</v>
      </c>
      <c r="O65">
        <v>-4.8999999999999998E-3</v>
      </c>
      <c r="P65">
        <v>-2.8E-3</v>
      </c>
      <c r="Q65">
        <v>-4.7999999999999996E-3</v>
      </c>
      <c r="R65">
        <v>-7.7000000000000002E-3</v>
      </c>
      <c r="S65">
        <v>-5.5999999999999999E-3</v>
      </c>
      <c r="T65">
        <v>-6.7000000000000002E-3</v>
      </c>
      <c r="U65">
        <v>-6.7999999999999996E-3</v>
      </c>
      <c r="V65">
        <v>-1.0200000000000001E-2</v>
      </c>
      <c r="W65">
        <v>-8.2000000000000007E-3</v>
      </c>
      <c r="X65">
        <v>-8.3000000000000001E-3</v>
      </c>
      <c r="Y65">
        <v>-9.4000000000000004E-3</v>
      </c>
      <c r="Z65">
        <v>-5.7999999999999996E-3</v>
      </c>
      <c r="AA65">
        <v>-7.3000000000000001E-3</v>
      </c>
      <c r="AB65">
        <v>-6.7000000000000002E-3</v>
      </c>
      <c r="AC65">
        <v>-7.7999999999999996E-3</v>
      </c>
      <c r="AD65">
        <v>-1.0800000000000001E-2</v>
      </c>
      <c r="AE65">
        <v>-1.2E-2</v>
      </c>
      <c r="AF65">
        <v>-1.52E-2</v>
      </c>
      <c r="AG65">
        <v>-1.18E-2</v>
      </c>
      <c r="AH65" s="6">
        <v>-1.6E-2</v>
      </c>
      <c r="AI65" s="6">
        <v>-2.0400000000000001E-2</v>
      </c>
      <c r="AJ65" s="6">
        <v>-2.2200000000000001E-2</v>
      </c>
      <c r="AK65">
        <v>-2.3E-2</v>
      </c>
      <c r="AL65">
        <v>-2.5600000000000001E-2</v>
      </c>
      <c r="AM65">
        <v>-2.8199999999999999E-2</v>
      </c>
      <c r="AN65">
        <v>-2.8199999999999999E-2</v>
      </c>
      <c r="AO65">
        <v>-3.5999999999999997E-2</v>
      </c>
    </row>
    <row r="66" spans="5:41" x14ac:dyDescent="0.25">
      <c r="E66">
        <v>7.3000000000000001E-3</v>
      </c>
      <c r="F66">
        <v>8.3000000000000001E-3</v>
      </c>
      <c r="G66">
        <v>7.1000000000000004E-3</v>
      </c>
      <c r="H66">
        <v>5.7999999999999996E-3</v>
      </c>
      <c r="I66">
        <v>6.1000000000000004E-3</v>
      </c>
      <c r="J66">
        <v>7.1000000000000004E-3</v>
      </c>
      <c r="K66">
        <v>3.5999999999999999E-3</v>
      </c>
      <c r="L66">
        <v>4.7000000000000002E-3</v>
      </c>
      <c r="M66">
        <v>2.5999999999999999E-3</v>
      </c>
      <c r="N66">
        <v>4.1999999999999997E-3</v>
      </c>
      <c r="O66">
        <v>2E-3</v>
      </c>
      <c r="P66">
        <v>3.3999999999999998E-3</v>
      </c>
      <c r="Q66">
        <v>1.6999999999999999E-3</v>
      </c>
      <c r="R66">
        <v>5.0000000000000001E-4</v>
      </c>
      <c r="S66">
        <v>2.3E-3</v>
      </c>
      <c r="T66">
        <v>1.1999999999999999E-3</v>
      </c>
      <c r="U66">
        <v>1.4E-3</v>
      </c>
      <c r="V66">
        <v>-1.6000000000000001E-3</v>
      </c>
      <c r="W66">
        <v>0</v>
      </c>
      <c r="X66">
        <v>1E-4</v>
      </c>
      <c r="Y66">
        <v>-1E-4</v>
      </c>
      <c r="Z66">
        <v>2.3999999999999998E-3</v>
      </c>
      <c r="AA66">
        <v>1.8E-3</v>
      </c>
      <c r="AB66">
        <v>2.8E-3</v>
      </c>
      <c r="AC66">
        <v>1.9E-3</v>
      </c>
      <c r="AD66">
        <v>8.0000000000000004E-4</v>
      </c>
      <c r="AE66">
        <v>6.9999999999999999E-4</v>
      </c>
      <c r="AF66">
        <v>-6.9999999999999999E-4</v>
      </c>
      <c r="AG66">
        <v>1.6999999999999999E-3</v>
      </c>
      <c r="AH66" s="6">
        <v>-5.0000000000000001E-4</v>
      </c>
      <c r="AI66" s="6">
        <v>-3.7000000000000002E-3</v>
      </c>
      <c r="AJ66" s="6">
        <v>-4.5999999999999999E-3</v>
      </c>
      <c r="AK66">
        <v>-4.4000000000000003E-3</v>
      </c>
      <c r="AL66">
        <v>-5.0000000000000001E-3</v>
      </c>
      <c r="AM66">
        <v>-6.1000000000000004E-3</v>
      </c>
      <c r="AN66">
        <v>-6.1000000000000004E-3</v>
      </c>
      <c r="AO66">
        <v>-8.9999999999999993E-3</v>
      </c>
    </row>
    <row r="67" spans="5:41" x14ac:dyDescent="0.25">
      <c r="E67">
        <v>4.1000000000000003E-3</v>
      </c>
      <c r="F67">
        <v>2.3E-3</v>
      </c>
      <c r="G67">
        <v>2.3999999999999998E-3</v>
      </c>
      <c r="H67">
        <v>1.1999999999999999E-3</v>
      </c>
      <c r="I67">
        <v>2E-3</v>
      </c>
      <c r="J67">
        <v>2.3999999999999998E-3</v>
      </c>
      <c r="K67">
        <v>4.0000000000000002E-4</v>
      </c>
      <c r="L67">
        <v>1.2999999999999999E-3</v>
      </c>
      <c r="M67">
        <v>2.0000000000000001E-4</v>
      </c>
      <c r="N67">
        <v>5.0000000000000001E-4</v>
      </c>
      <c r="O67">
        <v>-1E-4</v>
      </c>
      <c r="P67">
        <v>2.0000000000000001E-4</v>
      </c>
      <c r="Q67">
        <v>-4.0000000000000002E-4</v>
      </c>
      <c r="R67">
        <v>-6.9999999999999999E-4</v>
      </c>
      <c r="S67">
        <v>2.3E-3</v>
      </c>
      <c r="T67">
        <v>-4.0000000000000002E-4</v>
      </c>
      <c r="U67">
        <v>1E-4</v>
      </c>
      <c r="V67">
        <v>-1.8E-3</v>
      </c>
      <c r="W67">
        <v>-1.1999999999999999E-3</v>
      </c>
      <c r="X67">
        <v>-6.9999999999999999E-4</v>
      </c>
      <c r="Y67">
        <v>-1.1000000000000001E-3</v>
      </c>
      <c r="Z67">
        <v>2.0000000000000001E-4</v>
      </c>
      <c r="AA67">
        <v>-8.0000000000000004E-4</v>
      </c>
      <c r="AB67">
        <v>2.0000000000000001E-4</v>
      </c>
      <c r="AC67">
        <v>-5.0000000000000001E-4</v>
      </c>
      <c r="AD67">
        <v>-5.0000000000000001E-4</v>
      </c>
      <c r="AE67">
        <v>-1.1999999999999999E-3</v>
      </c>
      <c r="AF67">
        <v>-1.8E-3</v>
      </c>
      <c r="AG67">
        <v>-5.0000000000000001E-4</v>
      </c>
      <c r="AH67" s="6">
        <v>-1.6999999999999999E-3</v>
      </c>
      <c r="AI67" s="6">
        <v>-2.8E-3</v>
      </c>
      <c r="AJ67" s="6">
        <v>-3.0000000000000001E-3</v>
      </c>
      <c r="AK67">
        <v>-3.0000000000000001E-3</v>
      </c>
      <c r="AL67">
        <v>-3.0999999999999999E-3</v>
      </c>
      <c r="AM67">
        <v>2.0000000000000001E-4</v>
      </c>
      <c r="AN67">
        <v>2.0000000000000001E-4</v>
      </c>
      <c r="AO67">
        <v>-4.7000000000000002E-3</v>
      </c>
    </row>
    <row r="68" spans="5:41" x14ac:dyDescent="0.25">
      <c r="AN68">
        <v>0</v>
      </c>
    </row>
    <row r="71" spans="5:41" x14ac:dyDescent="0.25">
      <c r="E71" s="9" t="s">
        <v>11</v>
      </c>
      <c r="F71" s="9"/>
      <c r="G71" s="9"/>
      <c r="H71" s="9"/>
      <c r="I71" s="9"/>
      <c r="J71" s="9"/>
      <c r="K71" s="9"/>
      <c r="L71" s="9"/>
    </row>
    <row r="73" spans="5:41" x14ac:dyDescent="0.25">
      <c r="E73" s="1">
        <v>43404</v>
      </c>
      <c r="F73" s="1">
        <v>43417</v>
      </c>
      <c r="G73" s="1">
        <v>43439</v>
      </c>
      <c r="H73" s="1">
        <v>43452</v>
      </c>
      <c r="I73" s="1">
        <v>43470</v>
      </c>
      <c r="J73" s="1">
        <v>43486</v>
      </c>
      <c r="K73" s="1">
        <v>43502</v>
      </c>
      <c r="L73" s="1">
        <v>43521</v>
      </c>
      <c r="M73" s="1">
        <v>43537</v>
      </c>
      <c r="N73" s="1">
        <v>43556</v>
      </c>
      <c r="O73" s="1">
        <v>43565</v>
      </c>
      <c r="P73" s="1">
        <v>43579</v>
      </c>
      <c r="Q73" s="1">
        <v>43600</v>
      </c>
      <c r="R73" s="1">
        <v>43614</v>
      </c>
      <c r="S73" s="1">
        <v>43628</v>
      </c>
      <c r="T73" s="1">
        <v>43654</v>
      </c>
      <c r="U73" s="1">
        <v>43670</v>
      </c>
      <c r="V73" s="1">
        <v>43693</v>
      </c>
      <c r="W73" s="1">
        <v>43707</v>
      </c>
      <c r="X73" s="1">
        <v>43733</v>
      </c>
      <c r="Y73" s="1">
        <v>43748</v>
      </c>
      <c r="Z73" s="1">
        <v>43770</v>
      </c>
      <c r="AA73" s="1">
        <v>43790</v>
      </c>
      <c r="AB73" s="1">
        <v>43806</v>
      </c>
      <c r="AC73" s="1">
        <v>43817</v>
      </c>
      <c r="AD73" s="1">
        <v>43839</v>
      </c>
      <c r="AE73" s="1">
        <v>43869</v>
      </c>
      <c r="AF73" s="1">
        <v>43902</v>
      </c>
      <c r="AG73" s="1">
        <v>43924</v>
      </c>
      <c r="AH73" s="5">
        <v>43953</v>
      </c>
      <c r="AI73" s="5">
        <v>43982</v>
      </c>
      <c r="AJ73" s="5">
        <v>44024</v>
      </c>
      <c r="AK73" s="1">
        <v>44078</v>
      </c>
      <c r="AL73" s="1">
        <v>44138</v>
      </c>
      <c r="AM73" s="1">
        <v>44231</v>
      </c>
      <c r="AN73" s="1">
        <v>44355</v>
      </c>
      <c r="AO73" s="1">
        <v>44613</v>
      </c>
    </row>
    <row r="74" spans="5:41" x14ac:dyDescent="0.25">
      <c r="E74">
        <v>1.1299999999999999E-2</v>
      </c>
      <c r="F74">
        <v>-4.02E-2</v>
      </c>
      <c r="G74">
        <v>-6.1400000000000003E-2</v>
      </c>
      <c r="H74">
        <v>-7.7799999999999994E-2</v>
      </c>
      <c r="I74">
        <v>-0.10680000000000001</v>
      </c>
      <c r="J74">
        <v>-8.0500000000000002E-2</v>
      </c>
      <c r="K74">
        <v>-9.9500000000000005E-2</v>
      </c>
      <c r="L74">
        <v>-8.8800000000000004E-2</v>
      </c>
      <c r="M74">
        <v>-0.109</v>
      </c>
      <c r="N74">
        <v>-0.09</v>
      </c>
      <c r="O74">
        <v>-0.10059999999999999</v>
      </c>
      <c r="P74">
        <v>-0.10150000000000001</v>
      </c>
      <c r="Q74">
        <v>-0.12230000000000001</v>
      </c>
      <c r="R74">
        <v>-0.1169</v>
      </c>
      <c r="S74">
        <v>-0.1123</v>
      </c>
      <c r="T74">
        <v>-0.12039999999999999</v>
      </c>
      <c r="U74">
        <v>-0.1714</v>
      </c>
      <c r="V74">
        <v>-0.1517</v>
      </c>
      <c r="W74">
        <v>-0.1787</v>
      </c>
      <c r="X74">
        <v>-0.1085</v>
      </c>
      <c r="Y74">
        <v>-6.6500000000000004E-2</v>
      </c>
      <c r="Z74">
        <v>-0.157</v>
      </c>
      <c r="AA74">
        <v>-0.17810000000000001</v>
      </c>
      <c r="AB74">
        <v>-0.2276</v>
      </c>
      <c r="AC74">
        <v>-0.2114</v>
      </c>
      <c r="AD74">
        <v>-0.21310000000000001</v>
      </c>
      <c r="AE74">
        <v>-0.2392</v>
      </c>
      <c r="AF74">
        <v>-0.26090000000000002</v>
      </c>
      <c r="AG74">
        <v>-0.26540000000000002</v>
      </c>
      <c r="AH74" s="6">
        <v>-0.30459999999999998</v>
      </c>
      <c r="AI74" s="6">
        <v>-0.26390000000000002</v>
      </c>
      <c r="AJ74" s="6">
        <v>-0.29780000000000001</v>
      </c>
      <c r="AK74">
        <v>-0.31059999999999999</v>
      </c>
      <c r="AL74">
        <v>-0.4244</v>
      </c>
      <c r="AM74">
        <v>-0.40129999999999999</v>
      </c>
      <c r="AN74">
        <v>-0.40129999999999999</v>
      </c>
      <c r="AO74">
        <v>-0.49440000000000001</v>
      </c>
    </row>
    <row r="75" spans="5:41" x14ac:dyDescent="0.25">
      <c r="E75">
        <v>-4.8999999999999998E-3</v>
      </c>
      <c r="F75">
        <v>-1.18E-2</v>
      </c>
      <c r="G75">
        <v>-3.0599999999999999E-2</v>
      </c>
      <c r="H75">
        <v>-5.5100000000000003E-2</v>
      </c>
      <c r="I75">
        <v>-6.4000000000000001E-2</v>
      </c>
      <c r="J75">
        <v>-3.7199999999999997E-2</v>
      </c>
      <c r="K75">
        <v>-6.08E-2</v>
      </c>
      <c r="L75">
        <v>-4.5999999999999999E-2</v>
      </c>
      <c r="M75">
        <v>-5.5300000000000002E-2</v>
      </c>
      <c r="N75">
        <v>-4.9299999999999997E-2</v>
      </c>
      <c r="O75">
        <v>-6.2300000000000001E-2</v>
      </c>
      <c r="P75">
        <v>-6.3799999999999996E-2</v>
      </c>
      <c r="Q75">
        <v>-7.5399999999999995E-2</v>
      </c>
      <c r="R75">
        <v>-7.5700000000000003E-2</v>
      </c>
      <c r="S75">
        <v>-8.1100000000000005E-2</v>
      </c>
      <c r="T75">
        <v>-8.7999999999999995E-2</v>
      </c>
      <c r="U75">
        <v>-0.1004</v>
      </c>
      <c r="V75">
        <v>-0.1037</v>
      </c>
      <c r="W75">
        <v>-0.1129</v>
      </c>
      <c r="X75">
        <v>-8.1699999999999995E-2</v>
      </c>
      <c r="Y75">
        <v>-6.5799999999999997E-2</v>
      </c>
      <c r="Z75">
        <v>-0.1022</v>
      </c>
      <c r="AA75">
        <v>-0.1103</v>
      </c>
      <c r="AB75">
        <v>-0.13880000000000001</v>
      </c>
      <c r="AC75">
        <v>-0.1399</v>
      </c>
      <c r="AD75">
        <v>-0.13669999999999999</v>
      </c>
      <c r="AE75">
        <v>-0.16039999999999999</v>
      </c>
      <c r="AF75">
        <v>-0.17460000000000001</v>
      </c>
      <c r="AG75">
        <v>-0.1706</v>
      </c>
      <c r="AH75" s="6">
        <v>-0.19850000000000001</v>
      </c>
      <c r="AI75" s="6">
        <v>-0.19359999999999999</v>
      </c>
      <c r="AJ75" s="6">
        <v>-0.20580000000000001</v>
      </c>
      <c r="AK75">
        <v>-0.22090000000000001</v>
      </c>
      <c r="AL75">
        <v>-0.28210000000000002</v>
      </c>
      <c r="AM75">
        <v>-0.2707</v>
      </c>
      <c r="AN75">
        <v>-0.2707</v>
      </c>
      <c r="AO75">
        <v>-0.3266</v>
      </c>
    </row>
    <row r="76" spans="5:41" x14ac:dyDescent="0.25">
      <c r="E76">
        <v>-6.7000000000000002E-3</v>
      </c>
      <c r="F76">
        <v>3.5999999999999999E-3</v>
      </c>
      <c r="G76">
        <v>-2.8999999999999998E-3</v>
      </c>
      <c r="H76">
        <v>-2.1399999999999999E-2</v>
      </c>
      <c r="I76">
        <v>-2.5399999999999999E-2</v>
      </c>
      <c r="J76">
        <v>-2.8E-3</v>
      </c>
      <c r="K76">
        <v>-2.5399999999999999E-2</v>
      </c>
      <c r="L76">
        <v>-5.5999999999999999E-3</v>
      </c>
      <c r="M76">
        <v>-1.84E-2</v>
      </c>
      <c r="N76">
        <v>-1.5599999999999999E-2</v>
      </c>
      <c r="O76">
        <v>-2.5600000000000001E-2</v>
      </c>
      <c r="P76">
        <v>-2.5100000000000001E-2</v>
      </c>
      <c r="Q76">
        <v>-3.3500000000000002E-2</v>
      </c>
      <c r="R76">
        <v>-3.8399999999999997E-2</v>
      </c>
      <c r="S76">
        <v>-4.4999999999999998E-2</v>
      </c>
      <c r="T76">
        <v>-6.4399999999999999E-2</v>
      </c>
      <c r="U76">
        <v>-5.2600000000000001E-2</v>
      </c>
      <c r="V76">
        <v>-6.6699999999999995E-2</v>
      </c>
      <c r="W76">
        <v>-6.3500000000000001E-2</v>
      </c>
      <c r="X76">
        <v>-6.4600000000000005E-2</v>
      </c>
      <c r="Y76">
        <v>-6.7799999999999999E-2</v>
      </c>
      <c r="Z76">
        <v>-5.8799999999999998E-2</v>
      </c>
      <c r="AA76">
        <v>-5.7200000000000001E-2</v>
      </c>
      <c r="AB76">
        <v>-7.7200000000000005E-2</v>
      </c>
      <c r="AC76">
        <v>-7.6200000000000004E-2</v>
      </c>
      <c r="AD76">
        <v>-7.2099999999999997E-2</v>
      </c>
      <c r="AE76">
        <v>-9.1700000000000004E-2</v>
      </c>
      <c r="AF76">
        <v>-0.1056</v>
      </c>
      <c r="AG76">
        <v>-9.8500000000000004E-2</v>
      </c>
      <c r="AH76" s="6">
        <v>-0.123</v>
      </c>
      <c r="AI76" s="6">
        <v>-0.1411</v>
      </c>
      <c r="AJ76" s="6">
        <v>-0.14180000000000001</v>
      </c>
      <c r="AK76">
        <v>-0.16059999999999999</v>
      </c>
      <c r="AL76">
        <v>-0.1908</v>
      </c>
      <c r="AM76">
        <v>-0.1792</v>
      </c>
      <c r="AN76">
        <v>-0.1792</v>
      </c>
      <c r="AO76">
        <v>-0.21079999999999999</v>
      </c>
    </row>
    <row r="77" spans="5:41" x14ac:dyDescent="0.25">
      <c r="E77">
        <v>1.18E-2</v>
      </c>
      <c r="F77">
        <v>2.2200000000000001E-2</v>
      </c>
      <c r="G77">
        <v>1.54E-2</v>
      </c>
      <c r="H77">
        <v>-5.9999999999999995E-4</v>
      </c>
      <c r="I77">
        <v>-5.4999999999999997E-3</v>
      </c>
      <c r="J77">
        <v>1.5599999999999999E-2</v>
      </c>
      <c r="K77">
        <v>-6.4999999999999997E-3</v>
      </c>
      <c r="L77">
        <v>1.49E-2</v>
      </c>
      <c r="M77">
        <v>2E-3</v>
      </c>
      <c r="N77">
        <v>5.3E-3</v>
      </c>
      <c r="O77">
        <v>-3.3999999999999998E-3</v>
      </c>
      <c r="P77">
        <v>-2.3999999999999998E-3</v>
      </c>
      <c r="Q77">
        <v>-7.7999999999999996E-3</v>
      </c>
      <c r="R77">
        <v>-1.4800000000000001E-2</v>
      </c>
      <c r="S77">
        <v>-2.1600000000000001E-2</v>
      </c>
      <c r="T77">
        <v>-4.0099999999999997E-2</v>
      </c>
      <c r="U77">
        <v>-2.8899999999999999E-2</v>
      </c>
      <c r="V77">
        <v>-4.3200000000000002E-2</v>
      </c>
      <c r="W77">
        <v>-3.61E-2</v>
      </c>
      <c r="X77">
        <v>-3.9399999999999998E-2</v>
      </c>
      <c r="Y77">
        <v>-4.4299999999999999E-2</v>
      </c>
      <c r="Z77">
        <v>-3.5499999999999997E-2</v>
      </c>
      <c r="AA77">
        <v>-3.5200000000000002E-2</v>
      </c>
      <c r="AB77">
        <v>-5.3800000000000001E-2</v>
      </c>
      <c r="AC77">
        <v>-5.3600000000000002E-2</v>
      </c>
      <c r="AD77">
        <v>-4.9299999999999997E-2</v>
      </c>
      <c r="AE77">
        <v>-6.5799999999999997E-2</v>
      </c>
      <c r="AF77">
        <v>-7.8100000000000003E-2</v>
      </c>
      <c r="AG77">
        <v>-6.9500000000000006E-2</v>
      </c>
      <c r="AH77" s="6">
        <v>-9.2200000000000004E-2</v>
      </c>
      <c r="AI77" s="6">
        <v>-0.11260000000000001</v>
      </c>
      <c r="AJ77" s="6">
        <v>-0.11119999999999999</v>
      </c>
      <c r="AK77">
        <v>-0.12939999999999999</v>
      </c>
      <c r="AL77">
        <v>-0.156</v>
      </c>
      <c r="AM77">
        <v>-0.14779999999999999</v>
      </c>
      <c r="AN77">
        <v>-0.14779999999999999</v>
      </c>
      <c r="AO77">
        <v>-0.1772</v>
      </c>
    </row>
    <row r="78" spans="5:41" x14ac:dyDescent="0.25">
      <c r="E78">
        <v>5.4000000000000003E-3</v>
      </c>
      <c r="F78">
        <v>0.02</v>
      </c>
      <c r="G78">
        <v>1.1599999999999999E-2</v>
      </c>
      <c r="H78">
        <v>-3.5000000000000001E-3</v>
      </c>
      <c r="I78">
        <v>-1.09E-2</v>
      </c>
      <c r="J78">
        <v>5.4999999999999997E-3</v>
      </c>
      <c r="K78">
        <v>-1.37E-2</v>
      </c>
      <c r="L78">
        <v>5.7999999999999996E-3</v>
      </c>
      <c r="M78">
        <v>-6.0000000000000001E-3</v>
      </c>
      <c r="N78">
        <v>-1.2999999999999999E-3</v>
      </c>
      <c r="O78">
        <v>-8.3999999999999995E-3</v>
      </c>
      <c r="P78">
        <v>-8.3999999999999995E-3</v>
      </c>
      <c r="Q78">
        <v>-1.4E-2</v>
      </c>
      <c r="R78">
        <v>-1.9300000000000001E-2</v>
      </c>
      <c r="S78">
        <v>-2.6499999999999999E-2</v>
      </c>
      <c r="T78">
        <v>-4.2999999999999997E-2</v>
      </c>
      <c r="U78">
        <v>-3.0700000000000002E-2</v>
      </c>
      <c r="V78">
        <v>-4.58E-2</v>
      </c>
      <c r="W78">
        <v>-4.0099999999999997E-2</v>
      </c>
      <c r="X78">
        <v>-4.5400000000000003E-2</v>
      </c>
      <c r="Y78">
        <v>-4.7199999999999999E-2</v>
      </c>
      <c r="Z78">
        <v>-3.8300000000000001E-2</v>
      </c>
      <c r="AA78">
        <v>-3.7100000000000001E-2</v>
      </c>
      <c r="AB78">
        <v>-5.4100000000000002E-2</v>
      </c>
      <c r="AC78">
        <v>-5.6300000000000003E-2</v>
      </c>
      <c r="AD78">
        <v>-5.4100000000000002E-2</v>
      </c>
      <c r="AE78">
        <v>-6.3399999999999998E-2</v>
      </c>
      <c r="AF78">
        <v>-7.7399999999999997E-2</v>
      </c>
      <c r="AG78">
        <v>-6.7699999999999996E-2</v>
      </c>
      <c r="AH78" s="6">
        <v>-8.72E-2</v>
      </c>
      <c r="AI78" s="6">
        <v>-0.10539999999999999</v>
      </c>
      <c r="AJ78" s="6">
        <v>-0.1031</v>
      </c>
      <c r="AK78">
        <v>-0.11990000000000001</v>
      </c>
      <c r="AL78">
        <v>-0.1426</v>
      </c>
      <c r="AM78">
        <v>-0.13389999999999999</v>
      </c>
      <c r="AN78">
        <v>-0.13389999999999999</v>
      </c>
      <c r="AO78">
        <v>-0.16209999999999999</v>
      </c>
    </row>
    <row r="79" spans="5:41" x14ac:dyDescent="0.25">
      <c r="E79">
        <v>4.4000000000000003E-3</v>
      </c>
      <c r="F79">
        <v>0.02</v>
      </c>
      <c r="G79">
        <v>1.2E-2</v>
      </c>
      <c r="H79">
        <v>1.8E-3</v>
      </c>
      <c r="I79">
        <v>-8.8999999999999999E-3</v>
      </c>
      <c r="J79">
        <v>6.4000000000000003E-3</v>
      </c>
      <c r="K79">
        <v>-1.3100000000000001E-2</v>
      </c>
      <c r="L79">
        <v>2.3E-3</v>
      </c>
      <c r="M79">
        <v>-5.4000000000000003E-3</v>
      </c>
      <c r="N79">
        <v>5.9999999999999995E-4</v>
      </c>
      <c r="O79">
        <v>-6.7000000000000002E-3</v>
      </c>
      <c r="P79">
        <v>-7.6E-3</v>
      </c>
      <c r="Q79">
        <v>-9.7999999999999997E-3</v>
      </c>
      <c r="R79">
        <v>-1.5599999999999999E-2</v>
      </c>
      <c r="S79">
        <v>-2.1100000000000001E-2</v>
      </c>
      <c r="T79">
        <v>-3.61E-2</v>
      </c>
      <c r="U79">
        <v>-2.35E-2</v>
      </c>
      <c r="V79">
        <v>-3.9E-2</v>
      </c>
      <c r="W79">
        <v>-3.4700000000000002E-2</v>
      </c>
      <c r="X79">
        <v>-3.85E-2</v>
      </c>
      <c r="Y79">
        <v>-4.0399999999999998E-2</v>
      </c>
      <c r="Z79">
        <v>-3.1300000000000001E-2</v>
      </c>
      <c r="AA79">
        <v>-3.2000000000000001E-2</v>
      </c>
      <c r="AB79">
        <v>-4.6100000000000002E-2</v>
      </c>
      <c r="AC79">
        <v>-4.7800000000000002E-2</v>
      </c>
      <c r="AD79">
        <v>-4.8399999999999999E-2</v>
      </c>
      <c r="AE79">
        <v>-5.28E-2</v>
      </c>
      <c r="AF79">
        <v>-6.3600000000000004E-2</v>
      </c>
      <c r="AG79">
        <v>-5.45E-2</v>
      </c>
      <c r="AH79" s="6">
        <v>-7.1499999999999994E-2</v>
      </c>
      <c r="AI79" s="6">
        <v>-8.6400000000000005E-2</v>
      </c>
      <c r="AJ79" s="6">
        <v>-8.2600000000000007E-2</v>
      </c>
      <c r="AK79">
        <v>-9.6699999999999994E-2</v>
      </c>
      <c r="AL79">
        <v>-0.1163</v>
      </c>
      <c r="AM79">
        <v>-0.1056</v>
      </c>
      <c r="AN79">
        <v>-0.1056</v>
      </c>
      <c r="AO79">
        <v>-0.13239999999999999</v>
      </c>
    </row>
    <row r="80" spans="5:41" x14ac:dyDescent="0.25">
      <c r="E80">
        <v>4.4000000000000003E-3</v>
      </c>
      <c r="F80">
        <v>2.1600000000000001E-2</v>
      </c>
      <c r="G80">
        <v>1.43E-2</v>
      </c>
      <c r="H80">
        <v>0.01</v>
      </c>
      <c r="I80">
        <v>-2E-3</v>
      </c>
      <c r="J80">
        <v>7.9000000000000008E-3</v>
      </c>
      <c r="K80">
        <v>-8.0000000000000002E-3</v>
      </c>
      <c r="L80">
        <v>4.4000000000000003E-3</v>
      </c>
      <c r="M80">
        <v>-1E-4</v>
      </c>
      <c r="N80">
        <v>3.3999999999999998E-3</v>
      </c>
      <c r="O80">
        <v>-1.1999999999999999E-3</v>
      </c>
      <c r="P80">
        <v>-4.0000000000000001E-3</v>
      </c>
      <c r="Q80">
        <v>-4.1999999999999997E-3</v>
      </c>
      <c r="R80">
        <v>-8.0000000000000002E-3</v>
      </c>
      <c r="S80">
        <v>-1.3100000000000001E-2</v>
      </c>
      <c r="T80">
        <v>-2.46E-2</v>
      </c>
      <c r="U80">
        <v>-1.34E-2</v>
      </c>
      <c r="V80">
        <v>-2.9600000000000001E-2</v>
      </c>
      <c r="W80">
        <v>-2.7199999999999998E-2</v>
      </c>
      <c r="X80">
        <v>-2.7799999999999998E-2</v>
      </c>
      <c r="Y80">
        <v>-3.1600000000000003E-2</v>
      </c>
      <c r="Z80">
        <v>-2.3599999999999999E-2</v>
      </c>
      <c r="AA80">
        <v>-2.5999999999999999E-2</v>
      </c>
      <c r="AB80">
        <v>-3.44E-2</v>
      </c>
      <c r="AC80">
        <v>-3.7699999999999997E-2</v>
      </c>
      <c r="AD80">
        <v>-3.8300000000000001E-2</v>
      </c>
      <c r="AE80">
        <v>-3.6999999999999998E-2</v>
      </c>
      <c r="AF80">
        <v>-4.2099999999999999E-2</v>
      </c>
      <c r="AG80">
        <v>-3.4000000000000002E-2</v>
      </c>
      <c r="AH80" s="6">
        <v>-4.6899999999999997E-2</v>
      </c>
      <c r="AI80" s="6">
        <v>-5.9499999999999997E-2</v>
      </c>
      <c r="AJ80" s="6">
        <v>-5.3600000000000002E-2</v>
      </c>
      <c r="AK80">
        <v>-6.2899999999999998E-2</v>
      </c>
      <c r="AL80">
        <v>-7.9100000000000004E-2</v>
      </c>
      <c r="AM80">
        <v>-6.1199999999999997E-2</v>
      </c>
      <c r="AN80">
        <v>-6.1199999999999997E-2</v>
      </c>
      <c r="AO80">
        <v>-9.01E-2</v>
      </c>
    </row>
    <row r="81" spans="5:41" x14ac:dyDescent="0.25">
      <c r="E81">
        <v>-7.7000000000000002E-3</v>
      </c>
      <c r="F81">
        <v>1.0999999999999999E-2</v>
      </c>
      <c r="G81">
        <v>4.1000000000000003E-3</v>
      </c>
      <c r="H81">
        <v>6.1999999999999998E-3</v>
      </c>
      <c r="I81">
        <v>-5.8999999999999999E-3</v>
      </c>
      <c r="J81">
        <v>-1.1000000000000001E-3</v>
      </c>
      <c r="K81">
        <v>-1.49E-2</v>
      </c>
      <c r="L81">
        <v>-5.8999999999999999E-3</v>
      </c>
      <c r="M81">
        <v>-7.4000000000000003E-3</v>
      </c>
      <c r="N81">
        <v>-5.4999999999999997E-3</v>
      </c>
      <c r="O81">
        <v>-7.9000000000000008E-3</v>
      </c>
      <c r="P81">
        <v>-1.15E-2</v>
      </c>
      <c r="Q81">
        <v>-1.01E-2</v>
      </c>
      <c r="R81">
        <v>-1.2500000000000001E-2</v>
      </c>
      <c r="S81">
        <v>-1.8100000000000002E-2</v>
      </c>
      <c r="T81">
        <v>-2.63E-2</v>
      </c>
      <c r="U81">
        <v>-1.8700000000000001E-2</v>
      </c>
      <c r="V81">
        <v>-3.2599999999999997E-2</v>
      </c>
      <c r="W81">
        <v>-3.1600000000000003E-2</v>
      </c>
      <c r="X81">
        <v>-2.8299999999999999E-2</v>
      </c>
      <c r="Y81">
        <v>-3.49E-2</v>
      </c>
      <c r="Z81">
        <v>-2.8299999999999999E-2</v>
      </c>
      <c r="AA81">
        <v>-3.2399999999999998E-2</v>
      </c>
      <c r="AB81">
        <v>-3.5900000000000001E-2</v>
      </c>
      <c r="AC81">
        <v>-3.7999999999999999E-2</v>
      </c>
      <c r="AD81">
        <v>-3.7900000000000003E-2</v>
      </c>
      <c r="AE81">
        <v>-3.5400000000000001E-2</v>
      </c>
      <c r="AF81">
        <v>-3.6499999999999998E-2</v>
      </c>
      <c r="AG81">
        <v>-2.86E-2</v>
      </c>
      <c r="AH81" s="6">
        <v>-3.95E-2</v>
      </c>
      <c r="AI81" s="6">
        <v>-4.9099999999999998E-2</v>
      </c>
      <c r="AJ81" s="6">
        <v>-4.0099999999999997E-2</v>
      </c>
      <c r="AK81">
        <v>-4.5600000000000002E-2</v>
      </c>
      <c r="AL81">
        <v>-5.8599999999999999E-2</v>
      </c>
      <c r="AM81">
        <v>-3.3399999999999999E-2</v>
      </c>
      <c r="AN81">
        <v>-3.3399999999999999E-2</v>
      </c>
      <c r="AO81">
        <v>-7.0400000000000004E-2</v>
      </c>
    </row>
    <row r="82" spans="5:41" x14ac:dyDescent="0.25">
      <c r="E82">
        <v>-1.2E-2</v>
      </c>
      <c r="F82">
        <v>5.5999999999999999E-3</v>
      </c>
      <c r="G82">
        <v>-5.0000000000000001E-4</v>
      </c>
      <c r="H82">
        <v>1.6000000000000001E-3</v>
      </c>
      <c r="I82">
        <v>-9.7999999999999997E-3</v>
      </c>
      <c r="J82">
        <v>-9.1000000000000004E-3</v>
      </c>
      <c r="K82">
        <v>-1.66E-2</v>
      </c>
      <c r="L82">
        <v>-1.04E-2</v>
      </c>
      <c r="M82">
        <v>-1.0999999999999999E-2</v>
      </c>
      <c r="N82">
        <v>-1.0200000000000001E-2</v>
      </c>
      <c r="O82">
        <v>-1.34E-2</v>
      </c>
      <c r="P82">
        <v>-1.49E-2</v>
      </c>
      <c r="Q82">
        <v>-1.43E-2</v>
      </c>
      <c r="R82">
        <v>-1.46E-2</v>
      </c>
      <c r="S82">
        <v>-1.9E-2</v>
      </c>
      <c r="T82">
        <v>-2.8400000000000002E-2</v>
      </c>
      <c r="U82">
        <v>-1.9900000000000001E-2</v>
      </c>
      <c r="V82">
        <v>-3.2000000000000001E-2</v>
      </c>
      <c r="W82">
        <v>-3.1699999999999999E-2</v>
      </c>
      <c r="X82">
        <v>-2.8299999999999999E-2</v>
      </c>
      <c r="Y82">
        <v>-3.5299999999999998E-2</v>
      </c>
      <c r="Z82">
        <v>-2.8000000000000001E-2</v>
      </c>
      <c r="AA82">
        <v>-3.3000000000000002E-2</v>
      </c>
      <c r="AB82">
        <v>-3.5799999999999998E-2</v>
      </c>
      <c r="AC82">
        <v>-3.6999999999999998E-2</v>
      </c>
      <c r="AD82">
        <v>-3.7400000000000003E-2</v>
      </c>
      <c r="AE82">
        <v>-3.4700000000000002E-2</v>
      </c>
      <c r="AF82">
        <v>-3.49E-2</v>
      </c>
      <c r="AG82">
        <v>-2.7799999999999998E-2</v>
      </c>
      <c r="AH82" s="6">
        <v>-3.6499999999999998E-2</v>
      </c>
      <c r="AI82" s="6">
        <v>-4.4499999999999998E-2</v>
      </c>
      <c r="AJ82" s="6">
        <v>-3.5299999999999998E-2</v>
      </c>
      <c r="AK82">
        <v>-3.9399999999999998E-2</v>
      </c>
      <c r="AL82">
        <v>-5.1799999999999999E-2</v>
      </c>
      <c r="AM82">
        <v>-2.63E-2</v>
      </c>
      <c r="AN82">
        <v>-2.63E-2</v>
      </c>
      <c r="AO82">
        <v>-5.6899999999999999E-2</v>
      </c>
    </row>
    <row r="83" spans="5:41" x14ac:dyDescent="0.25">
      <c r="E83">
        <v>-1.7600000000000001E-2</v>
      </c>
      <c r="F83">
        <v>8.0000000000000004E-4</v>
      </c>
      <c r="G83">
        <v>-4.7000000000000002E-3</v>
      </c>
      <c r="H83">
        <v>-6.4000000000000003E-3</v>
      </c>
      <c r="I83">
        <v>-1.5599999999999999E-2</v>
      </c>
      <c r="J83">
        <v>-1.7399999999999999E-2</v>
      </c>
      <c r="K83">
        <v>-2.12E-2</v>
      </c>
      <c r="L83">
        <v>-1.9E-2</v>
      </c>
      <c r="M83">
        <v>-1.5599999999999999E-2</v>
      </c>
      <c r="N83">
        <v>-1.8499999999999999E-2</v>
      </c>
      <c r="O83">
        <v>-1.7999999999999999E-2</v>
      </c>
      <c r="P83">
        <v>-1.9099999999999999E-2</v>
      </c>
      <c r="Q83">
        <v>-1.9699999999999999E-2</v>
      </c>
      <c r="R83">
        <v>-2.2599999999999999E-2</v>
      </c>
      <c r="S83">
        <v>-2.3199999999999998E-2</v>
      </c>
      <c r="T83">
        <v>-2.87E-2</v>
      </c>
      <c r="U83">
        <v>-2.3E-2</v>
      </c>
      <c r="V83">
        <v>-3.1699999999999999E-2</v>
      </c>
      <c r="W83">
        <v>-3.2500000000000001E-2</v>
      </c>
      <c r="X83">
        <v>-2.9399999999999999E-2</v>
      </c>
      <c r="Y83">
        <v>-3.6200000000000003E-2</v>
      </c>
      <c r="Z83">
        <v>-2.7799999999999998E-2</v>
      </c>
      <c r="AA83">
        <v>-3.2800000000000003E-2</v>
      </c>
      <c r="AB83">
        <v>-3.4799999999999998E-2</v>
      </c>
      <c r="AC83">
        <v>-3.7199999999999997E-2</v>
      </c>
      <c r="AD83">
        <v>-3.8899999999999997E-2</v>
      </c>
      <c r="AE83">
        <v>-3.5299999999999998E-2</v>
      </c>
      <c r="AF83">
        <v>-3.3599999999999998E-2</v>
      </c>
      <c r="AG83">
        <v>-2.75E-2</v>
      </c>
      <c r="AH83" s="6">
        <v>-3.5799999999999998E-2</v>
      </c>
      <c r="AI83" s="6">
        <v>-3.9699999999999999E-2</v>
      </c>
      <c r="AJ83" s="6">
        <v>-3.1199999999999999E-2</v>
      </c>
      <c r="AK83">
        <v>-3.1300000000000001E-2</v>
      </c>
      <c r="AL83">
        <v>-4.0399999999999998E-2</v>
      </c>
      <c r="AM83">
        <v>-1.5699999999999999E-2</v>
      </c>
      <c r="AN83">
        <v>-1.5699999999999999E-2</v>
      </c>
      <c r="AO83">
        <v>-4.3299999999999998E-2</v>
      </c>
    </row>
    <row r="84" spans="5:41" x14ac:dyDescent="0.25">
      <c r="E84">
        <v>-2.4E-2</v>
      </c>
      <c r="F84">
        <v>-6.6E-3</v>
      </c>
      <c r="G84">
        <v>-1.06E-2</v>
      </c>
      <c r="H84">
        <v>-1.34E-2</v>
      </c>
      <c r="I84">
        <v>-1.9599999999999999E-2</v>
      </c>
      <c r="J84">
        <v>-2.2700000000000001E-2</v>
      </c>
      <c r="K84">
        <v>-2.63E-2</v>
      </c>
      <c r="L84">
        <v>-2.3800000000000002E-2</v>
      </c>
      <c r="M84">
        <v>-2.1700000000000001E-2</v>
      </c>
      <c r="N84">
        <v>-2.3E-2</v>
      </c>
      <c r="O84">
        <v>-2.4199999999999999E-2</v>
      </c>
      <c r="P84">
        <v>-2.23E-2</v>
      </c>
      <c r="Q84">
        <v>-2.2599999999999999E-2</v>
      </c>
      <c r="R84">
        <v>-2.6800000000000001E-2</v>
      </c>
      <c r="S84">
        <v>-2.75E-2</v>
      </c>
      <c r="T84">
        <v>-3.0099999999999998E-2</v>
      </c>
      <c r="U84">
        <v>-2.6200000000000001E-2</v>
      </c>
      <c r="V84">
        <v>-3.1300000000000001E-2</v>
      </c>
      <c r="W84">
        <v>-3.2899999999999999E-2</v>
      </c>
      <c r="X84">
        <v>-3.1E-2</v>
      </c>
      <c r="Y84">
        <v>-3.73E-2</v>
      </c>
      <c r="Z84">
        <v>-3.0700000000000002E-2</v>
      </c>
      <c r="AA84">
        <v>-3.3700000000000001E-2</v>
      </c>
      <c r="AB84">
        <v>-3.6600000000000001E-2</v>
      </c>
      <c r="AC84">
        <v>-3.8399999999999997E-2</v>
      </c>
      <c r="AD84">
        <v>-4.0599999999999997E-2</v>
      </c>
      <c r="AE84">
        <v>-3.7900000000000003E-2</v>
      </c>
      <c r="AF84">
        <v>-3.4700000000000002E-2</v>
      </c>
      <c r="AG84">
        <v>-3.0700000000000002E-2</v>
      </c>
      <c r="AH84" s="6">
        <v>-3.7100000000000001E-2</v>
      </c>
      <c r="AI84" s="6">
        <v>-3.9399999999999998E-2</v>
      </c>
      <c r="AJ84" s="6">
        <v>-3.1600000000000003E-2</v>
      </c>
      <c r="AK84">
        <v>-3.1099999999999999E-2</v>
      </c>
      <c r="AL84">
        <v>-3.8300000000000001E-2</v>
      </c>
      <c r="AM84">
        <v>-1.7500000000000002E-2</v>
      </c>
      <c r="AN84">
        <v>-1.7500000000000002E-2</v>
      </c>
      <c r="AO84">
        <v>-4.2700000000000002E-2</v>
      </c>
    </row>
    <row r="85" spans="5:41" x14ac:dyDescent="0.25">
      <c r="E85">
        <v>-1.6199999999999999E-2</v>
      </c>
      <c r="F85">
        <v>-5.1999999999999998E-3</v>
      </c>
      <c r="G85">
        <v>-1.15E-2</v>
      </c>
      <c r="H85">
        <v>-1.7899999999999999E-2</v>
      </c>
      <c r="I85">
        <v>-1.9099999999999999E-2</v>
      </c>
      <c r="J85">
        <v>-2.2599999999999999E-2</v>
      </c>
      <c r="K85">
        <v>-2.5100000000000001E-2</v>
      </c>
      <c r="L85">
        <v>-1.9699999999999999E-2</v>
      </c>
      <c r="M85">
        <v>-2.0299999999999999E-2</v>
      </c>
      <c r="N85">
        <v>-2.24E-2</v>
      </c>
      <c r="O85">
        <v>-2.1999999999999999E-2</v>
      </c>
      <c r="P85">
        <v>-2.1700000000000001E-2</v>
      </c>
      <c r="Q85">
        <v>-2.18E-2</v>
      </c>
      <c r="R85">
        <v>-2.5399999999999999E-2</v>
      </c>
      <c r="S85">
        <v>-2.76E-2</v>
      </c>
      <c r="T85">
        <v>-2.8899999999999999E-2</v>
      </c>
      <c r="U85">
        <v>-2.46E-2</v>
      </c>
      <c r="V85">
        <v>-2.93E-2</v>
      </c>
      <c r="W85">
        <v>-2.9000000000000001E-2</v>
      </c>
      <c r="X85">
        <v>-3.1199999999999999E-2</v>
      </c>
      <c r="Y85">
        <v>-3.32E-2</v>
      </c>
      <c r="Z85">
        <v>-2.9600000000000001E-2</v>
      </c>
      <c r="AA85">
        <v>-3.0800000000000001E-2</v>
      </c>
      <c r="AB85">
        <v>-3.6499999999999998E-2</v>
      </c>
      <c r="AC85">
        <v>-3.8899999999999997E-2</v>
      </c>
      <c r="AD85">
        <v>-4.19E-2</v>
      </c>
      <c r="AE85">
        <v>-4.2000000000000003E-2</v>
      </c>
      <c r="AF85">
        <v>-4.2799999999999998E-2</v>
      </c>
      <c r="AG85">
        <v>-4.0300000000000002E-2</v>
      </c>
      <c r="AH85" s="6">
        <v>-4.7500000000000001E-2</v>
      </c>
      <c r="AI85" s="6">
        <v>-5.1499999999999997E-2</v>
      </c>
      <c r="AJ85" s="6">
        <v>-4.9000000000000002E-2</v>
      </c>
      <c r="AK85">
        <v>-5.2200000000000003E-2</v>
      </c>
      <c r="AL85">
        <v>-5.8700000000000002E-2</v>
      </c>
      <c r="AM85">
        <v>-4.9000000000000002E-2</v>
      </c>
      <c r="AN85">
        <v>-4.9000000000000002E-2</v>
      </c>
      <c r="AO85">
        <v>-6.6100000000000006E-2</v>
      </c>
    </row>
    <row r="86" spans="5:41" x14ac:dyDescent="0.25">
      <c r="E86">
        <v>-1.3100000000000001E-2</v>
      </c>
      <c r="F86">
        <v>-3.2000000000000002E-3</v>
      </c>
      <c r="G86">
        <v>-8.0000000000000002E-3</v>
      </c>
      <c r="H86">
        <v>-1.43E-2</v>
      </c>
      <c r="I86">
        <v>-1.32E-2</v>
      </c>
      <c r="J86">
        <v>-1.54E-2</v>
      </c>
      <c r="K86">
        <v>-1.6199999999999999E-2</v>
      </c>
      <c r="L86">
        <v>-1.2200000000000001E-2</v>
      </c>
      <c r="M86">
        <v>-1.2500000000000001E-2</v>
      </c>
      <c r="N86">
        <v>-1.38E-2</v>
      </c>
      <c r="O86">
        <v>-1.43E-2</v>
      </c>
      <c r="P86">
        <v>-1.43E-2</v>
      </c>
      <c r="Q86">
        <v>-1.52E-2</v>
      </c>
      <c r="R86">
        <v>-1.7500000000000002E-2</v>
      </c>
      <c r="S86">
        <v>-1.9099999999999999E-2</v>
      </c>
      <c r="T86">
        <v>-1.9699999999999999E-2</v>
      </c>
      <c r="U86">
        <v>-1.55E-2</v>
      </c>
      <c r="V86">
        <v>-2.1000000000000001E-2</v>
      </c>
      <c r="W86">
        <v>-1.9300000000000001E-2</v>
      </c>
      <c r="X86">
        <v>-2.23E-2</v>
      </c>
      <c r="Y86">
        <v>-2.1100000000000001E-2</v>
      </c>
      <c r="Z86">
        <v>-1.9E-2</v>
      </c>
      <c r="AA86">
        <v>-1.7999999999999999E-2</v>
      </c>
      <c r="AB86">
        <v>-2.41E-2</v>
      </c>
      <c r="AC86">
        <v>-2.6499999999999999E-2</v>
      </c>
      <c r="AD86">
        <v>-2.9000000000000001E-2</v>
      </c>
      <c r="AE86">
        <v>-2.86E-2</v>
      </c>
      <c r="AF86">
        <v>-3.2800000000000003E-2</v>
      </c>
      <c r="AG86">
        <v>-0.03</v>
      </c>
      <c r="AH86" s="6">
        <v>-3.73E-2</v>
      </c>
      <c r="AI86" s="6">
        <v>-4.1599999999999998E-2</v>
      </c>
      <c r="AJ86" s="6">
        <v>-4.0300000000000002E-2</v>
      </c>
      <c r="AK86">
        <v>-4.4299999999999999E-2</v>
      </c>
      <c r="AL86">
        <v>-5.11E-2</v>
      </c>
      <c r="AM86">
        <v>-4.7600000000000003E-2</v>
      </c>
      <c r="AN86">
        <v>-4.7600000000000003E-2</v>
      </c>
      <c r="AO86">
        <v>-5.57E-2</v>
      </c>
    </row>
    <row r="87" spans="5:41" x14ac:dyDescent="0.25">
      <c r="E87">
        <v>-5.4000000000000003E-3</v>
      </c>
      <c r="F87">
        <v>-4.4000000000000003E-3</v>
      </c>
      <c r="G87">
        <v>-3.7000000000000002E-3</v>
      </c>
      <c r="H87">
        <v>-8.5000000000000006E-3</v>
      </c>
      <c r="I87">
        <v>-5.8999999999999999E-3</v>
      </c>
      <c r="J87">
        <v>-6.4000000000000003E-3</v>
      </c>
      <c r="K87">
        <v>-8.8000000000000005E-3</v>
      </c>
      <c r="L87">
        <v>-4.8999999999999998E-3</v>
      </c>
      <c r="M87">
        <v>-5.4999999999999997E-3</v>
      </c>
      <c r="N87">
        <v>-7.0000000000000001E-3</v>
      </c>
      <c r="O87">
        <v>-6.0000000000000001E-3</v>
      </c>
      <c r="P87">
        <v>-8.0000000000000002E-3</v>
      </c>
      <c r="Q87">
        <v>-7.0000000000000001E-3</v>
      </c>
      <c r="R87">
        <v>-8.8000000000000005E-3</v>
      </c>
      <c r="S87">
        <v>-9.4999999999999998E-3</v>
      </c>
      <c r="T87">
        <v>-1.01E-2</v>
      </c>
      <c r="U87">
        <v>-6.6E-3</v>
      </c>
      <c r="V87">
        <v>-9.5999999999999992E-3</v>
      </c>
      <c r="W87">
        <v>-9.7000000000000003E-3</v>
      </c>
      <c r="X87">
        <v>-1.14E-2</v>
      </c>
      <c r="Y87">
        <v>-9.7999999999999997E-3</v>
      </c>
      <c r="Z87">
        <v>-8.5000000000000006E-3</v>
      </c>
      <c r="AA87">
        <v>-6.7999999999999996E-3</v>
      </c>
      <c r="AB87">
        <v>-1.1900000000000001E-2</v>
      </c>
      <c r="AC87">
        <v>-1.26E-2</v>
      </c>
      <c r="AD87">
        <v>-1.3100000000000001E-2</v>
      </c>
      <c r="AE87">
        <v>-1.3899999999999999E-2</v>
      </c>
      <c r="AF87">
        <v>-1.78E-2</v>
      </c>
      <c r="AG87">
        <v>-1.66E-2</v>
      </c>
      <c r="AH87" s="6">
        <v>-2.0400000000000001E-2</v>
      </c>
      <c r="AI87" s="6">
        <v>-2.47E-2</v>
      </c>
      <c r="AJ87" s="6">
        <v>-2.4E-2</v>
      </c>
      <c r="AK87">
        <v>-2.8000000000000001E-2</v>
      </c>
      <c r="AL87">
        <v>-3.4000000000000002E-2</v>
      </c>
      <c r="AM87">
        <v>-3.3599999999999998E-2</v>
      </c>
      <c r="AN87">
        <v>-3.3599999999999998E-2</v>
      </c>
      <c r="AO87">
        <v>-3.3099999999999997E-2</v>
      </c>
    </row>
    <row r="88" spans="5:41" x14ac:dyDescent="0.25">
      <c r="E88">
        <v>-5.7999999999999996E-3</v>
      </c>
      <c r="F88">
        <v>-8.6E-3</v>
      </c>
      <c r="G88">
        <v>-8.9999999999999993E-3</v>
      </c>
      <c r="H88">
        <v>-1.24E-2</v>
      </c>
      <c r="I88">
        <v>-1.03E-2</v>
      </c>
      <c r="J88">
        <v>-1.03E-2</v>
      </c>
      <c r="K88">
        <v>-1.04E-2</v>
      </c>
      <c r="L88">
        <v>-7.1999999999999998E-3</v>
      </c>
      <c r="M88">
        <v>-8.0000000000000002E-3</v>
      </c>
      <c r="N88">
        <v>-1.01E-2</v>
      </c>
      <c r="O88">
        <v>-1.0200000000000001E-2</v>
      </c>
      <c r="P88">
        <v>-1.06E-2</v>
      </c>
      <c r="Q88">
        <v>-9.7000000000000003E-3</v>
      </c>
      <c r="R88">
        <v>-9.1999999999999998E-3</v>
      </c>
      <c r="S88">
        <v>-1.09E-2</v>
      </c>
      <c r="T88">
        <v>-1.2500000000000001E-2</v>
      </c>
      <c r="U88">
        <v>-8.6E-3</v>
      </c>
      <c r="V88">
        <v>-1.0200000000000001E-2</v>
      </c>
      <c r="W88">
        <v>-1.0200000000000001E-2</v>
      </c>
      <c r="X88">
        <v>-1.0999999999999999E-2</v>
      </c>
      <c r="Y88">
        <v>-1.03E-2</v>
      </c>
      <c r="Z88">
        <v>-1.03E-2</v>
      </c>
      <c r="AA88">
        <v>-1.06E-2</v>
      </c>
      <c r="AB88">
        <v>-1.32E-2</v>
      </c>
      <c r="AC88">
        <v>-1.4800000000000001E-2</v>
      </c>
      <c r="AD88">
        <v>-1.38E-2</v>
      </c>
      <c r="AE88">
        <v>-1.6299999999999999E-2</v>
      </c>
      <c r="AF88">
        <v>-1.7899999999999999E-2</v>
      </c>
      <c r="AG88">
        <v>-1.78E-2</v>
      </c>
      <c r="AH88" s="6">
        <v>-2.0899999999999998E-2</v>
      </c>
      <c r="AI88" s="6">
        <v>-2.1700000000000001E-2</v>
      </c>
      <c r="AJ88" s="6">
        <v>-2.18E-2</v>
      </c>
      <c r="AK88">
        <v>-2.46E-2</v>
      </c>
      <c r="AL88">
        <v>-2.8000000000000001E-2</v>
      </c>
      <c r="AM88">
        <v>-2.6800000000000001E-2</v>
      </c>
      <c r="AN88">
        <v>-2.6800000000000001E-2</v>
      </c>
      <c r="AO88">
        <v>-2.58E-2</v>
      </c>
    </row>
    <row r="89" spans="5:41" x14ac:dyDescent="0.25">
      <c r="AN89">
        <v>0</v>
      </c>
    </row>
    <row r="93" spans="5:41" x14ac:dyDescent="0.25">
      <c r="L93" s="7" t="s">
        <v>13</v>
      </c>
      <c r="M93" s="7"/>
      <c r="N93" s="7"/>
      <c r="O93" s="7"/>
      <c r="P93" s="7"/>
      <c r="Q93" s="7"/>
      <c r="R93" s="7"/>
      <c r="S93" s="7"/>
    </row>
    <row r="94" spans="5:41" x14ac:dyDescent="0.25">
      <c r="L94" s="7" t="s">
        <v>14</v>
      </c>
      <c r="M94" s="7"/>
      <c r="N94" s="7"/>
      <c r="O94" s="7"/>
      <c r="P94" s="7"/>
      <c r="Q94" s="7"/>
      <c r="R94" s="7"/>
      <c r="S94" s="7"/>
    </row>
    <row r="95" spans="5:41" x14ac:dyDescent="0.25">
      <c r="L95" s="7" t="s">
        <v>15</v>
      </c>
      <c r="M95" s="7"/>
      <c r="N95" s="7"/>
      <c r="O95" s="7"/>
      <c r="P95" s="7"/>
      <c r="Q95" s="7"/>
      <c r="R95" s="7"/>
      <c r="S95" s="7"/>
    </row>
  </sheetData>
  <mergeCells count="7">
    <mergeCell ref="L95:S95"/>
    <mergeCell ref="N2:S3"/>
    <mergeCell ref="E26:J26"/>
    <mergeCell ref="E50:L50"/>
    <mergeCell ref="E71:L71"/>
    <mergeCell ref="L93:S93"/>
    <mergeCell ref="L94:S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(Editted)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2022-03-11T11:59:55Z</dcterms:modified>
</cp:coreProperties>
</file>